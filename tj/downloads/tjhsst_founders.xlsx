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48665635e646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ed Founders" sheetId="1" r:id="R12eec266ebfa4628"/>
    <x:sheet xmlns:r="http://schemas.openxmlformats.org/officeDocument/2006/relationships" name="Founders Summary" sheetId="2" r:id="R503acfaf858a4849"/>
    <x:sheet xmlns:r="http://schemas.openxmlformats.org/officeDocument/2006/relationships" name="Companies Summary" sheetId="3" r:id="R2b5e0a4378a746ce"/>
    <x:sheet xmlns:r="http://schemas.openxmlformats.org/officeDocument/2006/relationships" name="Unverified Leads" sheetId="4" r:id="R382308ddb1d34be8"/>
    <x:sheet xmlns:r="http://schemas.openxmlformats.org/officeDocument/2006/relationships" name="Rejected Candidates" sheetId="5" r:id="Rc4eceb94cd5e4baa"/>
    <x:sheet xmlns:r="http://schemas.openxmlformats.org/officeDocument/2006/relationships" name="Sources" sheetId="6" r:id="Rd2566148c6ec4686"/>
    <x:sheet xmlns:r="http://schemas.openxmlformats.org/officeDocument/2006/relationships" name="Discovery Sources" sheetId="7" r:id="Radc917e487484c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$#,##0"/>
    <x:numFmt numFmtId="202" formatCode="yyyy-mm-dd"/>
  </x:numFmts>
  <x:fonts count="7">
    <x:font>
      <x:sz val="11"/>
      <x:name val="Carlito"/>
    </x:font>
    <x:font>
      <x:b/>
      <x:sz val="16"/>
      <x:color rgb="FFFFFFFF"/>
      <x:name val="Aptos"/>
    </x:font>
    <x:font>
      <x:i/>
      <x:sz val="10"/>
      <x:color rgb="FF1F2937"/>
      <x:name val="Aptos"/>
    </x:font>
    <x:font>
      <x:b/>
      <x:sz val="10"/>
      <x:color rgb="FFFFFFFF"/>
      <x:name val="Aptos"/>
    </x:font>
    <x:font>
      <x:sz val="9"/>
      <x:color rgb="FF1F2937"/>
      <x:name val="Aptos"/>
    </x:font>
    <x:font>
      <x:sz val="11"/>
      <x:color rgb="FF1F2937"/>
      <x:name val="Aptos"/>
    </x:font>
    <x:font>
      <x:sz val="1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4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3" xfId="0" applyNumberFormat="1" applyFont="1" applyFill="1" applyBorder="1"/>
    <x:xf numFmtId="0" fontId="6" fillId="0" borderId="0" xfId="0" applyNumberFormat="1" applyFont="1" applyFill="1" applyBorder="1"/>
    <x:xf numFmtId="0" fontId="6" fillId="0" borderId="3" xfId="0" applyNumberFormat="1" applyFont="1" applyFill="1" applyBorder="1"/>
    <x:xf numFmtId="201" fontId="0" fillId="0" borderId="0" xfId="0" applyNumberFormat="1" applyFont="1" applyFill="1" applyBorder="1"/>
    <x:xf numFmtId="201" fontId="5" fillId="0" borderId="0" xfId="0" applyNumberFormat="1" applyFont="1" applyFill="1" applyBorder="1"/>
    <x:xf numFmtId="201" fontId="5" fillId="0" borderId="3" xfId="0" applyNumberFormat="1" applyFont="1" applyFill="1" applyBorder="1"/>
    <x:xf numFmtId="0" fontId="6" fillId="4" borderId="3" xfId="0" applyNumberFormat="1" applyFont="1" applyFill="1" applyBorder="1"/>
    <x:xf numFmtId="0" fontId="3" fillId="4" borderId="3" xfId="0" applyNumberFormat="1" applyFont="1" applyFill="1" applyBorder="1"/>
    <x:xf numFmtId="0" fontId="4" fillId="0" borderId="3" xfId="0" applyNumberFormat="1" applyFont="1" applyFill="1" applyBorder="1"/>
    <x:xf numFmtId="201" fontId="4" fillId="0" borderId="2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006100"/>
      </x:font>
      <x:fill>
        <x:patternFill patternType="solid">
          <x:bgColor rgb="FFC6E0B4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7E6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7e44e49b544100" /><Relationship Type="http://schemas.openxmlformats.org/officeDocument/2006/relationships/theme" Target="/xl/theme/theme1.xml" Id="R47986bd86eca4028" /><Relationship Type="http://schemas.openxmlformats.org/officeDocument/2006/relationships/sharedStrings" Target="/xl/sharedStrings.xml" Id="R7af68d5335304baf" /><Relationship Type="http://schemas.openxmlformats.org/officeDocument/2006/relationships/worksheet" Target="/xl/worksheets/sheet1.xml" Id="R12eec266ebfa4628" /><Relationship Type="http://schemas.openxmlformats.org/officeDocument/2006/relationships/worksheet" Target="/xl/worksheets/sheet2.xml" Id="R503acfaf858a4849" /><Relationship Type="http://schemas.openxmlformats.org/officeDocument/2006/relationships/worksheet" Target="/xl/worksheets/sheet3.xml" Id="R2b5e0a4378a746ce" /><Relationship Type="http://schemas.openxmlformats.org/officeDocument/2006/relationships/worksheet" Target="/xl/worksheets/sheet4.xml" Id="R382308ddb1d34be8" /><Relationship Type="http://schemas.openxmlformats.org/officeDocument/2006/relationships/worksheet" Target="/xl/worksheets/sheet5.xml" Id="Rc4eceb94cd5e4baa" /><Relationship Type="http://schemas.openxmlformats.org/officeDocument/2006/relationships/worksheet" Target="/xl/worksheets/sheet6.xml" Id="Rd2566148c6ec4686" /><Relationship Type="http://schemas.openxmlformats.org/officeDocument/2006/relationships/worksheet" Target="/xl/worksheets/sheet7.xml" Id="Radc917e487484cf3" /></Relationships>
</file>

<file path=xl/tables/table1.xml><?xml version="1.0" encoding="utf-8"?>
<x:table xmlns:x="http://schemas.openxmlformats.org/spreadsheetml/2006/main" id="1" name="VerifiedFoundersTable" displayName="VerifiedFoundersTable" ref="A3:AK125" headerRowCount="1" totalsRowCount="0" totalsRowShown="0">
  <x:autoFilter ref="A3:AK125"/>
  <x:tableColumns count="37">
    <x:tableColumn id="1" name="founder_name"/>
    <x:tableColumn id="2" name="first_name"/>
    <x:tableColumn id="3" name="last_name"/>
    <x:tableColumn id="4" name="tjhsst_graduation_year"/>
    <x:tableColumn id="5" name="tjhsst_year_confidence"/>
    <x:tableColumn id="6" name="tjhsst_evidence"/>
    <x:tableColumn id="7" name="tjhsst_source_url"/>
    <x:tableColumn id="8" name="company_name"/>
    <x:tableColumn id="9" name="company_website"/>
    <x:tableColumn id="10" name="founder_role"/>
    <x:tableColumn id="11" name="founding_year"/>
    <x:tableColumn id="12" name="company_status"/>
    <x:tableColumn id="13" name="industry"/>
    <x:tableColumn id="14" name="subindustry"/>
    <x:tableColumn id="15" name="company_description"/>
    <x:tableColumn id="16" name="headquarters"/>
    <x:tableColumn id="17" name="venture_backed"/>
    <x:tableColumn id="18" name="total_funding"/>
    <x:tableColumn id="19" name="latest_known_round"/>
    <x:tableColumn id="20" name="notable_investors"/>
    <x:tableColumn id="21" name="accelerator"/>
    <x:tableColumn id="22" name="acquisition_or_exit"/>
    <x:tableColumn id="23" name="acquirer"/>
    <x:tableColumn id="24" name="exit_year"/>
    <x:tableColumn id="25" name="current_founder_role"/>
    <x:tableColumn id="26" name="founder_linkedin"/>
    <x:tableColumn id="27" name="founder_personal_website"/>
    <x:tableColumn id="28" name="company_linkedin"/>
    <x:tableColumn id="29" name="founder_evidence"/>
    <x:tableColumn id="30" name="founder_source_url"/>
    <x:tableColumn id="31" name="additional_sources"/>
    <x:tableColumn id="32" name="discovery_method"/>
    <x:tableColumn id="33" name="discovered_via"/>
    <x:tableColumn id="34" name="discovery_source_url"/>
    <x:tableColumn id="35" name="confidence_score"/>
    <x:tableColumn id="36" name="notes"/>
    <x:tableColumn id="37" name="universities_attend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undersSummaryTable" displayName="FoundersSummaryTable" ref="A12:I83" headerRowCount="1" totalsRowCount="0" totalsRowShown="0">
  <x:tableColumns count="9">
    <x:tableColumn id="1" name="founder_name"/>
    <x:tableColumn id="2" name="graduation_year"/>
    <x:tableColumn id="3" name="decade"/>
    <x:tableColumn id="4" name="company_count"/>
    <x:tableColumn id="5" name="companies"/>
    <x:tableColumn id="6" name="universities_attended"/>
    <x:tableColumn id="7" name="discovery_method"/>
    <x:tableColumn id="8" name="discovered_via"/>
    <x:tableColumn id="9" name="minimum_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aniesSummaryTable" displayName="CompaniesSummaryTable" ref="A12:L107" headerRowCount="1" totalsRowCount="0" totalsRowShown="0">
  <x:tableColumns count="12">
    <x:tableColumn id="1" name="company_name"/>
    <x:tableColumn id="2" name="status"/>
    <x:tableColumn id="3" name="industry"/>
    <x:tableColumn id="4" name="subindustry"/>
    <x:tableColumn id="5" name="headquarters"/>
    <x:tableColumn id="6" name="venture_backed"/>
    <x:tableColumn id="7" name="total_funding"/>
    <x:tableColumn id="8" name="numeric_funding_usd"/>
    <x:tableColumn id="9" name="founder_count"/>
    <x:tableColumn id="10" name="accelerator"/>
    <x:tableColumn id="11" name="notable_investors"/>
    <x:tableColumn id="12" name="acquisition_or_exi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nverifiedLeadsTable" displayName="UnverifiedLeadsTable" ref="A3:H15" headerRowCount="1" totalsRowCount="0" totalsRowShown="0">
  <x:autoFilter ref="A3:H15"/>
  <x:tableColumns count="8">
    <x:tableColumn id="1" name="name"/>
    <x:tableColumn id="2" name="suspected_company"/>
    <x:tableColumn id="3" name="suspected_tj_connection"/>
    <x:tableColumn id="4" name="discovery_source"/>
    <x:tableColumn id="5" name="what_evidence_is_missing"/>
    <x:tableColumn id="6" name="urls_already_checked"/>
    <x:tableColumn id="7" name="confidence_score"/>
    <x:tableColumn id="8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jectedCandidatesTable" displayName="RejectedCandidatesTable" ref="A3:E10" headerRowCount="1" totalsRowCount="0" totalsRowShown="0">
  <x:autoFilter ref="A3:E10"/>
  <x:tableColumns count="5">
    <x:tableColumn id="1" name="name"/>
    <x:tableColumn id="2" name="reason_excluded"/>
    <x:tableColumn id="3" name="investigated_company"/>
    <x:tableColumn id="4" name="evidence_urls"/>
    <x:tableColumn id="5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3:G105" headerRowCount="1" totalsRowCount="0" totalsRowShown="0">
  <x:autoFilter ref="A3:G105"/>
  <x:tableColumns count="7">
    <x:tableColumn id="1" name="source_id"/>
    <x:tableColumn id="2" name="source_title"/>
    <x:tableColumn id="3" name="source_url"/>
    <x:tableColumn id="4" name="source_type"/>
    <x:tableColumn id="5" name="claim_supported"/>
    <x:tableColumn id="6" name="accessed_date"/>
    <x:tableColumn id="7" name="credibility_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scoverySourcesTable" displayName="DiscoverySourcesTable" ref="A3:F13" headerRowCount="1" totalsRowCount="0" totalsRowShown="0">
  <x:autoFilter ref="A3:F13"/>
  <x:tableColumns count="6">
    <x:tableColumn id="1" name="method"/>
    <x:tableColumn id="2" name="source_or_node"/>
    <x:tableColumn id="3" name="url"/>
    <x:tableColumn id="4" name="candidates_generated"/>
    <x:tableColumn id="5" name="verified_founders_generated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0c8ad3804c44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4124f6b67648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e2fa43e0e7147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fd6e74eec544b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7ae5e0994f549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0952a246cd74c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92930f2f49a4ec9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6" hidden="0" customWidth="1"/>
    <x:col min="4" max="4" width="11" hidden="0" customWidth="1"/>
    <x:col min="5" max="5" width="16" hidden="0" customWidth="1"/>
    <x:col min="6" max="6" width="48" hidden="0" customWidth="1"/>
    <x:col min="7" max="7" width="38" hidden="0" customWidth="1"/>
    <x:col min="8" max="8" width="28" hidden="0" customWidth="1"/>
    <x:col min="9" max="9" width="34" hidden="0" customWidth="1"/>
    <x:col min="10" max="10" width="25" hidden="0" customWidth="1"/>
    <x:col min="11" max="11" width="11" hidden="0" customWidth="1"/>
    <x:col min="12" max="12" width="12" hidden="0" customWidth="1"/>
    <x:col min="13" max="13" width="20" hidden="0" customWidth="1"/>
    <x:col min="14" max="14" width="24" hidden="0" customWidth="1"/>
    <x:col min="15" max="15" width="48" hidden="0" customWidth="1"/>
    <x:col min="16" max="16" width="18" hidden="0" customWidth="1"/>
    <x:col min="17" max="17" width="14" hidden="0" customWidth="1"/>
    <x:col min="18" max="18" width="28" hidden="0" customWidth="1"/>
    <x:col min="19" max="19" width="28" hidden="0" customWidth="1"/>
    <x:col min="20" max="20" width="40" hidden="0" customWidth="1"/>
    <x:col min="21" max="21" width="18" hidden="0" customWidth="1"/>
    <x:col min="22" max="22" width="30" hidden="0" customWidth="1"/>
    <x:col min="23" max="23" width="18" hidden="0" customWidth="1"/>
    <x:col min="24" max="24" width="11" hidden="0" customWidth="1"/>
    <x:col min="25" max="25" width="20" hidden="0" customWidth="1"/>
    <x:col min="26" max="26" width="34" hidden="0" customWidth="1"/>
    <x:col min="27" max="27" width="34" hidden="0" customWidth="1"/>
    <x:col min="28" max="28" width="34" hidden="0" customWidth="1"/>
    <x:col min="29" max="29" width="48" hidden="0" customWidth="1"/>
    <x:col min="30" max="30" width="38" hidden="0" customWidth="1"/>
    <x:col min="31" max="31" width="38" hidden="0" customWidth="1"/>
    <x:col min="32" max="32" width="26" hidden="0" customWidth="1"/>
    <x:col min="33" max="33" width="30" hidden="0" customWidth="1"/>
    <x:col min="34" max="34" width="38" hidden="0" customWidth="1"/>
    <x:col min="35" max="35" width="10" hidden="0" customWidth="1"/>
    <x:col min="36" max="36" width="40" hidden="0" customWidth="1"/>
    <x:col min="37" max="37" width="30" hidden="0" customWidth="1"/>
  </x:cols>
  <x:sheetData>
    <x:row r="1" ht="30" customHeight="1">
      <x:c r="A1" s="4" t="str">
        <x:v>TJHSST Founders — Verified Founder–Company Relationships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</x:row>
    <x:row r="2" ht="28" customHeight="1">
      <x:c r="A2" s="7" t="str">
        <x:v>One row per canonical founder–company pair. Confidence 3–5 only. URLs sit beside the claims they support; blank graduation years mean the year was not reliably established.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</x:row>
    <x:row r="3" ht="32" customHeight="1">
      <x:c r="A3" s="13" t="str">
        <x:v>founder_name</x:v>
      </x:c>
      <x:c r="B3" s="13" t="str">
        <x:v>first_name</x:v>
      </x:c>
      <x:c r="C3" s="13" t="str">
        <x:v>last_name</x:v>
      </x:c>
      <x:c r="D3" s="13" t="str">
        <x:v>tjhsst_graduation_year</x:v>
      </x:c>
      <x:c r="E3" s="13" t="str">
        <x:v>tjhsst_year_confidence</x:v>
      </x:c>
      <x:c r="F3" s="13" t="str">
        <x:v>tjhsst_evidence</x:v>
      </x:c>
      <x:c r="G3" s="13" t="str">
        <x:v>tjhsst_source_url</x:v>
      </x:c>
      <x:c r="H3" s="13" t="str">
        <x:v>company_name</x:v>
      </x:c>
      <x:c r="I3" s="13" t="str">
        <x:v>company_website</x:v>
      </x:c>
      <x:c r="J3" s="13" t="str">
        <x:v>founder_role</x:v>
      </x:c>
      <x:c r="K3" s="13" t="str">
        <x:v>founding_year</x:v>
      </x:c>
      <x:c r="L3" s="13" t="str">
        <x:v>company_status</x:v>
      </x:c>
      <x:c r="M3" s="13" t="str">
        <x:v>industry</x:v>
      </x:c>
      <x:c r="N3" s="13" t="str">
        <x:v>subindustry</x:v>
      </x:c>
      <x:c r="O3" s="13" t="str">
        <x:v>company_description</x:v>
      </x:c>
      <x:c r="P3" s="13" t="str">
        <x:v>headquarters</x:v>
      </x:c>
      <x:c r="Q3" s="13" t="str">
        <x:v>venture_backed</x:v>
      </x:c>
      <x:c r="R3" s="13" t="str">
        <x:v>total_funding</x:v>
      </x:c>
      <x:c r="S3" s="13" t="str">
        <x:v>latest_known_round</x:v>
      </x:c>
      <x:c r="T3" s="13" t="str">
        <x:v>notable_investors</x:v>
      </x:c>
      <x:c r="U3" s="13" t="str">
        <x:v>accelerator</x:v>
      </x:c>
      <x:c r="V3" s="13" t="str">
        <x:v>acquisition_or_exit</x:v>
      </x:c>
      <x:c r="W3" s="13" t="str">
        <x:v>acquirer</x:v>
      </x:c>
      <x:c r="X3" s="13" t="str">
        <x:v>exit_year</x:v>
      </x:c>
      <x:c r="Y3" s="13" t="str">
        <x:v>current_founder_role</x:v>
      </x:c>
      <x:c r="Z3" s="13" t="str">
        <x:v>founder_linkedin</x:v>
      </x:c>
      <x:c r="AA3" s="13" t="str">
        <x:v>founder_personal_website</x:v>
      </x:c>
      <x:c r="AB3" s="13" t="str">
        <x:v>company_linkedin</x:v>
      </x:c>
      <x:c r="AC3" s="13" t="str">
        <x:v>founder_evidence</x:v>
      </x:c>
      <x:c r="AD3" s="13" t="str">
        <x:v>founder_source_url</x:v>
      </x:c>
      <x:c r="AE3" s="13" t="str">
        <x:v>additional_sources</x:v>
      </x:c>
      <x:c r="AF3" s="13" t="str">
        <x:v>discovery_method</x:v>
      </x:c>
      <x:c r="AG3" s="13" t="str">
        <x:v>discovered_via</x:v>
      </x:c>
      <x:c r="AH3" s="13" t="str">
        <x:v>discovery_source_url</x:v>
      </x:c>
      <x:c r="AI3" s="13" t="str">
        <x:v>confidence_score</x:v>
      </x:c>
      <x:c r="AJ3" s="13" t="str">
        <x:v>notes</x:v>
      </x:c>
      <x:c r="AK3" s="13" t="str">
        <x:v>universities_attended</x:v>
      </x:c>
    </x:row>
    <x:row r="4" ht="44" customHeight="1">
      <x:c r="A4" s="17" t="str">
        <x:v>Nader Al-Naji</x:v>
      </x:c>
      <x:c r="B4" s="17" t="str">
        <x:v>Nader</x:v>
      </x:c>
      <x:c r="C4" s="17" t="str">
        <x:v>Al-Naji</x:v>
      </x:c>
      <x:c r="D4" s="18" t="str">
        <x:v>2010</x:v>
      </x:c>
      <x:c r="E4" s="17" t="str">
        <x:v>Confirmed</x:v>
      </x:c>
      <x:c r="F4" s="17" t="str">
        <x:v>TJHSST Founders Initiative lists Al-Naji as a 2010 alumnus.</x:v>
      </x:c>
      <x:c r="G4" s="17" t="str">
        <x:v>https://www.tjhsst.network/alumni</x:v>
      </x:c>
      <x:c r="H4" s="17" t="str">
        <x:v>Basis</x:v>
      </x:c>
      <x:c r="I4" s="17" t="str">
        <x:v>https://www.basis.io/</x:v>
      </x:c>
      <x:c r="J4" s="17" t="str">
        <x:v>Founder and CEO</x:v>
      </x:c>
      <x:c r="K4" s="17" t="n">
        <x:v>2017</x:v>
      </x:c>
      <x:c r="L4" s="17" t="str">
        <x:v>Closed</x:v>
      </x:c>
      <x:c r="M4" s="17" t="str">
        <x:v>Fintech</x:v>
      </x:c>
      <x:c r="N4" s="17" t="str">
        <x:v>Algorithmic stablecoin</x:v>
      </x:c>
      <x:c r="O4" s="17" t="str">
        <x:v>Cryptocurrency company that designed an algorithmic stablecoin.</x:v>
      </x:c>
      <x:c r="P4" s="17" t="str">
        <x:v>Hoboken, NJ</x:v>
      </x:c>
      <x:c r="Q4" s="17" t="str">
        <x:v>Yes</x:v>
      </x:c>
      <x:c r="R4" s="17" t="str">
        <x:v>At least $133M publicly announced</x:v>
      </x:c>
      <x:c r="S4" s="17" t="str">
        <x:v>Private token-sale financing</x:v>
      </x:c>
      <x:c r="T4" s="17" t="str">
        <x:v>$133M round included Bain Capital Ventures, GV, Lightspeed, Andreessen Horowitz and others</x:v>
      </x:c>
      <x:c r="U4" s="17" t="str">
        <x:v>None</x:v>
      </x:c>
      <x:c r="V4" s="17" t="str">
        <x:v>Shut down and returned capital after regulatory concerns</x:v>
      </x:c>
      <x:c r="W4" s="17" t="str">
        <x:v>Unknown</x:v>
      </x:c>
      <x:c r="X4" s="17" t="n">
        <x:v>2018</x:v>
      </x:c>
      <x:c r="Y4" s="17" t="str">
        <x:v>Former founder</x:v>
      </x:c>
      <x:c r="Z4" s="17" t="str">
        <x:v>Unknown</x:v>
      </x:c>
      <x:c r="AA4" s="17" t="str">
        <x:v>Unknown</x:v>
      </x:c>
      <x:c r="AB4" s="17" t="str">
        <x:v>Unknown</x:v>
      </x:c>
      <x:c r="AC4" s="17" t="str">
        <x:v>Company and investor coverage identify Al-Naji as founder/CEO.</x:v>
      </x:c>
      <x:c r="AD4" s="17" t="str">
        <x:v>https://www.tjhsst.network/companies/basis</x:v>
      </x:c>
      <x:c r="AE4" s="17" t="str">
        <x:v>Unknown</x:v>
      </x:c>
      <x:c r="AF4" s="17" t="str">
        <x:v>TJHSST founder directory</x:v>
      </x:c>
      <x:c r="AG4" s="17" t="str">
        <x:v>TJHSST Founders Initiative</x:v>
      </x:c>
      <x:c r="AH4" s="17" t="str">
        <x:v>https://www.tjhsst.network/alumni</x:v>
      </x:c>
      <x:c r="AI4" s="18" t="n">
        <x:v>5</x:v>
      </x:c>
      <x:c r="AJ4" s="17" t="str">
        <x:v>Unknown</x:v>
      </x:c>
      <x:c r="AK4" s="17" t="str">
        <x:v>Princeton University</x:v>
      </x:c>
    </x:row>
    <x:row r="5" ht="44" customHeight="1">
      <x:c r="A5" s="17" t="str">
        <x:v>Nader Al-Naji</x:v>
      </x:c>
      <x:c r="B5" s="17" t="str">
        <x:v>Nader</x:v>
      </x:c>
      <x:c r="C5" s="17" t="str">
        <x:v>Al-Naji</x:v>
      </x:c>
      <x:c r="D5" s="18" t="str">
        <x:v>2010</x:v>
      </x:c>
      <x:c r="E5" s="17" t="str">
        <x:v>Confirmed</x:v>
      </x:c>
      <x:c r="F5" s="17" t="str">
        <x:v>TJHSST Founders Initiative lists Al-Naji as a 2010 alumnus.</x:v>
      </x:c>
      <x:c r="G5" s="17" t="str">
        <x:v>https://www.tjhsst.network/alumni</x:v>
      </x:c>
      <x:c r="H5" s="17" t="str">
        <x:v>DeSo (formerly BitClout)</x:v>
      </x:c>
      <x:c r="I5" s="17" t="str">
        <x:v>https://www.deso.com/</x:v>
      </x:c>
      <x:c r="J5" s="17" t="str">
        <x:v>Founder</x:v>
      </x:c>
      <x:c r="K5" s="17" t="n">
        <x:v>2019</x:v>
      </x:c>
      <x:c r="L5" s="17" t="str">
        <x:v>Active</x:v>
      </x:c>
      <x:c r="M5" s="17" t="str">
        <x:v>Social</x:v>
      </x:c>
      <x:c r="N5" s="17" t="str">
        <x:v>Decentralized social blockchain</x:v>
      </x:c>
      <x:c r="O5" s="17" t="str">
        <x:v>Blockchain protocol and social-token ecosystem originally launched as BitClout.</x:v>
      </x:c>
      <x:c r="P5" s="17" t="str">
        <x:v>Los Angeles, CA</x:v>
      </x:c>
      <x:c r="Q5" s="17" t="str">
        <x:v>Yes</x:v>
      </x:c>
      <x:c r="R5" s="17" t="str">
        <x:v>At least $200M publicly announced</x:v>
      </x:c>
      <x:c r="S5" s="17" t="str">
        <x:v>Private token financing</x:v>
      </x:c>
      <x:c r="T5" s="17" t="str">
        <x:v>Andreessen Horowitz; Coinbase Ventures; Sequoia; Social Capital; Pantera</x:v>
      </x:c>
      <x:c r="U5" s="17" t="str">
        <x:v>None</x:v>
      </x:c>
      <x:c r="V5" s="17" t="str">
        <x:v>None known</x:v>
      </x:c>
      <x:c r="W5" s="17" t="str">
        <x:v>Unknown</x:v>
      </x:c>
      <x:c r="X5" s="17" t="str">
        <x:v>Unknown</x:v>
      </x:c>
      <x:c r="Y5" s="17" t="str">
        <x:v>Unknown</x:v>
      </x:c>
      <x:c r="Z5" s="17" t="str">
        <x:v>Unknown</x:v>
      </x:c>
      <x:c r="AA5" s="17" t="str">
        <x:v>Unknown</x:v>
      </x:c>
      <x:c r="AB5" s="17" t="str">
        <x:v>Unknown</x:v>
      </x:c>
      <x:c r="AC5" s="17" t="str">
        <x:v>Company and financing coverage identify Al-Naji as the founder of BitClout/DeSo.</x:v>
      </x:c>
      <x:c r="AD5" s="17" t="str">
        <x:v>https://theorg.com/org/bitclout/org-chart/nader-al-naji</x:v>
      </x:c>
      <x:c r="AE5" s="17" t="str">
        <x:v>https://www.theblock.co/post/118614/bitclout-deso-200-million-funding-round</x:v>
      </x:c>
      <x:c r="AF5" s="17" t="str">
        <x:v>TJHSST founder directory</x:v>
      </x:c>
      <x:c r="AG5" s="17" t="str">
        <x:v>TJHSST Founders Initiative</x:v>
      </x:c>
      <x:c r="AH5" s="17" t="str">
        <x:v>https://www.tjhsst.network/alumni</x:v>
      </x:c>
      <x:c r="AI5" s="18" t="n">
        <x:v>5</x:v>
      </x:c>
      <x:c r="AJ5" s="17" t="str">
        <x:v>Unknown</x:v>
      </x:c>
      <x:c r="AK5" s="17" t="str">
        <x:v>Princeton University</x:v>
      </x:c>
    </x:row>
    <x:row r="6" ht="44" customHeight="1">
      <x:c r="A6" s="17" t="str">
        <x:v>Jeff Arnold</x:v>
      </x:c>
      <x:c r="B6" s="17" t="str">
        <x:v>Jeff</x:v>
      </x:c>
      <x:c r="C6" s="17" t="str">
        <x:v>Arnold</x:v>
      </x:c>
      <x:c r="D6" s="18" t="str">
        <x:v>2003</x:v>
      </x:c>
      <x:c r="E6" s="17" t="str">
        <x:v>Confirmed</x:v>
      </x:c>
      <x:c r="F6" s="17" t="str">
        <x:v>A 2003 local-news report identifies Arnold as a TJ senior; TJ founder materials also identify him as an alumnus.</x:v>
      </x:c>
      <x:c r="G6" s="17" t="str">
        <x:v>https://m.connectionnewspapers.com/news/2003/apr/16/tj-students-computerize-cappies-voting/</x:v>
      </x:c>
      <x:c r="H6" s="17" t="str">
        <x:v>Ksplice</x:v>
      </x:c>
      <x:c r="I6" s="17" t="str">
        <x:v>https://ksplice.oracle.com/</x:v>
      </x:c>
      <x:c r="J6" s="17" t="str">
        <x:v>Co-founder</x:v>
      </x:c>
      <x:c r="K6" s="17" t="n">
        <x:v>2008</x:v>
      </x:c>
      <x:c r="L6" s="17" t="str">
        <x:v>Acquired</x:v>
      </x:c>
      <x:c r="M6" s="17" t="str">
        <x:v>Enterprise Software</x:v>
      </x:c>
      <x:c r="N6" s="17" t="str">
        <x:v>Linux infrastructure</x:v>
      </x:c>
      <x:c r="O6" s="17" t="str">
        <x:v>Rebootless Linux kernel updating technology commercialized from MIT research.</x:v>
      </x:c>
      <x:c r="P6" s="17" t="str">
        <x:v>Cambridge, MA</x:v>
      </x:c>
      <x:c r="Q6" s="17" t="str">
        <x:v>Yes</x:v>
      </x:c>
      <x:c r="R6" s="17" t="str">
        <x:v>Unknown</x:v>
      </x:c>
      <x:c r="S6" s="17" t="str">
        <x:v>Seed / venture</x:v>
      </x:c>
      <x:c r="T6" s="17" t="str">
        <x:v>Polaris Venture Partners; True Ventures</x:v>
      </x:c>
      <x:c r="U6" s="17" t="str">
        <x:v>None</x:v>
      </x:c>
      <x:c r="V6" s="17" t="str">
        <x:v>Acquired</x:v>
      </x:c>
      <x:c r="W6" s="17" t="str">
        <x:v>Oracle</x:v>
      </x:c>
      <x:c r="X6" s="17" t="n">
        <x:v>2011</x:v>
      </x:c>
      <x:c r="Y6" s="17" t="str">
        <x:v>Former founder</x:v>
      </x:c>
      <x:c r="Z6" s="17" t="str">
        <x:v>https://www.linkedin.com/in/jeffarnold</x:v>
      </x:c>
      <x:c r="AA6" s="17" t="str">
        <x:v>Unknown</x:v>
      </x:c>
      <x:c r="AB6" s="17" t="str">
        <x:v>Unknown</x:v>
      </x:c>
      <x:c r="AC6" s="17" t="str">
        <x:v>Pilot’s founding history identifies the team as Ksplice co-founders.</x:v>
      </x:c>
      <x:c r="AD6" s="17" t="str">
        <x:v>https://pilot.com/blog/best-bookkeeping-service-pilot-founding-story</x:v>
      </x:c>
      <x:c r="AE6" s="17" t="str">
        <x:v>https://www.tjhsst.network/news/ksplice-oracle-acquisition</x:v>
      </x:c>
      <x:c r="AF6" s="17" t="str">
        <x:v>Howard Lerman social-hub search</x:v>
      </x:c>
      <x:c r="AG6" s="17" t="str">
        <x:v>Howard Lerman LinkedIn post</x:v>
      </x:c>
      <x:c r="AH6" s="17" t="str">
        <x:v>https://www.linkedin.com/posts/howardlerman_i-love-all-founders-but-my-fellow-thomas-activity-7117608482018598912-19gQ</x:v>
      </x:c>
      <x:c r="AI6" s="18" t="n">
        <x:v>5</x:v>
      </x:c>
      <x:c r="AJ6" s="17" t="str">
        <x:v>Unknown</x:v>
      </x:c>
      <x:c r="AK6" s="17" t="str">
        <x:v>MIT</x:v>
      </x:c>
    </x:row>
    <x:row r="7" ht="44" customHeight="1">
      <x:c r="A7" s="17" t="str">
        <x:v>Tim Abbott</x:v>
      </x:c>
      <x:c r="B7" s="17" t="str">
        <x:v>Tim</x:v>
      </x:c>
      <x:c r="C7" s="17" t="str">
        <x:v>Abbott</x:v>
      </x:c>
      <x:c r="D7" s="18" t="str">
        <x:v>2003</x:v>
      </x:c>
      <x:c r="E7" s="17" t="str">
        <x:v>Confirmed</x:v>
      </x:c>
      <x:c r="F7" s="17" t="str">
        <x:v>A 2003 local-news report identifies Abbott as a TJ senior; his MIT page describes the TJ computer-systems lab.</x:v>
      </x:c>
      <x:c r="G7" s="17" t="str">
        <x:v>https://m.connectionnewspapers.com/news/2003/apr/16/tj-students-computerize-cappies-voting/</x:v>
      </x:c>
      <x:c r="H7" s="17" t="str">
        <x:v>Ksplice</x:v>
      </x:c>
      <x:c r="I7" s="17" t="str">
        <x:v>https://ksplice.oracle.com/</x:v>
      </x:c>
      <x:c r="J7" s="17" t="str">
        <x:v>Co-founder</x:v>
      </x:c>
      <x:c r="K7" s="17" t="n">
        <x:v>2008</x:v>
      </x:c>
      <x:c r="L7" s="17" t="str">
        <x:v>Acquired</x:v>
      </x:c>
      <x:c r="M7" s="17" t="str">
        <x:v>Enterprise Software</x:v>
      </x:c>
      <x:c r="N7" s="17" t="str">
        <x:v>Linux infrastructure</x:v>
      </x:c>
      <x:c r="O7" s="17" t="str">
        <x:v>Rebootless Linux kernel updating technology commercialized from MIT research.</x:v>
      </x:c>
      <x:c r="P7" s="17" t="str">
        <x:v>Cambridge, MA</x:v>
      </x:c>
      <x:c r="Q7" s="17" t="str">
        <x:v>Yes</x:v>
      </x:c>
      <x:c r="R7" s="17" t="str">
        <x:v>Unknown</x:v>
      </x:c>
      <x:c r="S7" s="17" t="str">
        <x:v>Seed / venture</x:v>
      </x:c>
      <x:c r="T7" s="17" t="str">
        <x:v>Polaris Venture Partners; True Ventures</x:v>
      </x:c>
      <x:c r="U7" s="17" t="str">
        <x:v>None</x:v>
      </x:c>
      <x:c r="V7" s="17" t="str">
        <x:v>Acquired</x:v>
      </x:c>
      <x:c r="W7" s="17" t="str">
        <x:v>Oracle</x:v>
      </x:c>
      <x:c r="X7" s="17" t="n">
        <x:v>2011</x:v>
      </x:c>
      <x:c r="Y7" s="17" t="str">
        <x:v>Former founder</x:v>
      </x:c>
      <x:c r="Z7" s="17" t="str">
        <x:v>Unknown</x:v>
      </x:c>
      <x:c r="AA7" s="17" t="str">
        <x:v>https://web.mit.edu/tabbott/www/</x:v>
      </x:c>
      <x:c r="AB7" s="17" t="str">
        <x:v>Unknown</x:v>
      </x:c>
      <x:c r="AC7" s="17" t="str">
        <x:v>Pilot’s founding history identifies the team as Ksplice co-founders.</x:v>
      </x:c>
      <x:c r="AD7" s="17" t="str">
        <x:v>https://pilot.com/blog/best-bookkeeping-service-pilot-founding-story</x:v>
      </x:c>
      <x:c r="AE7" s="17" t="str">
        <x:v>https://www.tjhsst.network/news/ksplice-oracle-acquisition</x:v>
      </x:c>
      <x:c r="AF7" s="17" t="str">
        <x:v>Recursive founder-network expansion</x:v>
      </x:c>
      <x:c r="AG7" s="17" t="str">
        <x:v>Jeff Arnold network expansion</x:v>
      </x:c>
      <x:c r="AH7" s="17" t="str">
        <x:v>https://pilot.com/blog/best-bookkeeping-service-pilot-founding-story</x:v>
      </x:c>
      <x:c r="AI7" s="18" t="n">
        <x:v>5</x:v>
      </x:c>
      <x:c r="AJ7" s="17" t="str">
        <x:v>Unknown</x:v>
      </x:c>
      <x:c r="AK7" s="17" t="str">
        <x:v>MIT</x:v>
      </x:c>
    </x:row>
    <x:row r="8" ht="44" customHeight="1">
      <x:c r="A8" s="17" t="str">
        <x:v>Waseem Daher</x:v>
      </x:c>
      <x:c r="B8" s="17" t="str">
        <x:v>Waseem</x:v>
      </x:c>
      <x:c r="C8" s="17" t="str">
        <x:v>Daher</x:v>
      </x:c>
      <x:c r="D8" s="18" t="str"/>
      <x:c r="E8" s="17" t="str">
        <x:v>Unknown</x:v>
      </x:c>
      <x:c r="F8" s="17" t="str">
        <x:v>TJHSST Founders Initiative identifies Daher as a TJ alumnus; no reliable public graduation year located.</x:v>
      </x:c>
      <x:c r="G8" s="17" t="str">
        <x:v>https://www.tjhsst.network/alumni</x:v>
      </x:c>
      <x:c r="H8" s="17" t="str">
        <x:v>Ksplice</x:v>
      </x:c>
      <x:c r="I8" s="17" t="str">
        <x:v>https://ksplice.oracle.com/</x:v>
      </x:c>
      <x:c r="J8" s="17" t="str">
        <x:v>Co-founder</x:v>
      </x:c>
      <x:c r="K8" s="17" t="n">
        <x:v>2008</x:v>
      </x:c>
      <x:c r="L8" s="17" t="str">
        <x:v>Acquired</x:v>
      </x:c>
      <x:c r="M8" s="17" t="str">
        <x:v>Enterprise Software</x:v>
      </x:c>
      <x:c r="N8" s="17" t="str">
        <x:v>Linux infrastructure</x:v>
      </x:c>
      <x:c r="O8" s="17" t="str">
        <x:v>Rebootless Linux kernel updating technology commercialized from MIT research.</x:v>
      </x:c>
      <x:c r="P8" s="17" t="str">
        <x:v>Cambridge, MA</x:v>
      </x:c>
      <x:c r="Q8" s="17" t="str">
        <x:v>Yes</x:v>
      </x:c>
      <x:c r="R8" s="17" t="str">
        <x:v>Unknown</x:v>
      </x:c>
      <x:c r="S8" s="17" t="str">
        <x:v>Seed / venture</x:v>
      </x:c>
      <x:c r="T8" s="17" t="str">
        <x:v>Polaris Venture Partners; True Ventures</x:v>
      </x:c>
      <x:c r="U8" s="17" t="str">
        <x:v>None</x:v>
      </x:c>
      <x:c r="V8" s="17" t="str">
        <x:v>Acquired</x:v>
      </x:c>
      <x:c r="W8" s="17" t="str">
        <x:v>Oracle</x:v>
      </x:c>
      <x:c r="X8" s="17" t="n">
        <x:v>2011</x:v>
      </x:c>
      <x:c r="Y8" s="17" t="str">
        <x:v>Former founder</x:v>
      </x:c>
      <x:c r="Z8" s="17" t="str">
        <x:v>Unknown</x:v>
      </x:c>
      <x:c r="AA8" s="17" t="str">
        <x:v>https://waseem.substack.com/about</x:v>
      </x:c>
      <x:c r="AB8" s="17" t="str">
        <x:v>Unknown</x:v>
      </x:c>
      <x:c r="AC8" s="17" t="str">
        <x:v>Pilot’s founding history identifies the team as Ksplice co-founders.</x:v>
      </x:c>
      <x:c r="AD8" s="17" t="str">
        <x:v>https://pilot.com/blog/best-bookkeeping-service-pilot-founding-story</x:v>
      </x:c>
      <x:c r="AE8" s="17" t="str">
        <x:v>https://www.tjhsst.network/news/ksplice-oracle-acquisition</x:v>
      </x:c>
      <x:c r="AF8" s="17" t="str">
        <x:v>Recursive founder-network expansion</x:v>
      </x:c>
      <x:c r="AG8" s="17" t="str">
        <x:v>Jeff Arnold network expansion</x:v>
      </x:c>
      <x:c r="AH8" s="17" t="str">
        <x:v>https://pilot.com/blog/best-bookkeeping-service-pilot-founding-story</x:v>
      </x:c>
      <x:c r="AI8" s="18" t="n">
        <x:v>5</x:v>
      </x:c>
      <x:c r="AJ8" s="17" t="str">
        <x:v>Unknown</x:v>
      </x:c>
      <x:c r="AK8" s="17" t="str">
        <x:v>MIT</x:v>
      </x:c>
    </x:row>
    <x:row r="9" ht="44" customHeight="1">
      <x:c r="A9" s="17" t="str">
        <x:v>Jeff Arnold</x:v>
      </x:c>
      <x:c r="B9" s="17" t="str">
        <x:v>Jeff</x:v>
      </x:c>
      <x:c r="C9" s="17" t="str">
        <x:v>Arnold</x:v>
      </x:c>
      <x:c r="D9" s="18" t="str">
        <x:v>2003</x:v>
      </x:c>
      <x:c r="E9" s="17" t="str">
        <x:v>Confirmed</x:v>
      </x:c>
      <x:c r="F9" s="17" t="str">
        <x:v>A 2003 local-news report identifies Arnold as a TJ senior; TJ founder materials also identify him as an alumnus.</x:v>
      </x:c>
      <x:c r="G9" s="17" t="str">
        <x:v>https://m.connectionnewspapers.com/news/2003/apr/16/tj-students-computerize-cappies-voting/</x:v>
      </x:c>
      <x:c r="H9" s="17" t="str">
        <x:v>Zulip</x:v>
      </x:c>
      <x:c r="I9" s="17" t="str">
        <x:v>https://zulip.com/</x:v>
      </x:c>
      <x:c r="J9" s="17" t="str">
        <x:v>Co-founder</x:v>
      </x:c>
      <x:c r="K9" s="17" t="n">
        <x:v>2012</x:v>
      </x:c>
      <x:c r="L9" s="17" t="str">
        <x:v>Acquired</x:v>
      </x:c>
      <x:c r="M9" s="17" t="str">
        <x:v>Enterprise Software</x:v>
      </x:c>
      <x:c r="N9" s="17" t="str">
        <x:v>Team collaboration</x:v>
      </x:c>
      <x:c r="O9" s="17" t="str">
        <x:v>Threaded team-chat product; later open-sourced after acquisition.</x:v>
      </x:c>
      <x:c r="P9" s="17" t="str">
        <x:v>Cambridge, MA</x:v>
      </x:c>
      <x:c r="Q9" s="17" t="str">
        <x:v>Yes</x:v>
      </x:c>
      <x:c r="R9" s="17" t="str">
        <x:v>Unknown</x:v>
      </x:c>
      <x:c r="S9" s="17" t="str">
        <x:v>Seed</x:v>
      </x:c>
      <x:c r="T9" s="17" t="str">
        <x:v>Unknown</x:v>
      </x:c>
      <x:c r="U9" s="17" t="str">
        <x:v>None</x:v>
      </x:c>
      <x:c r="V9" s="17" t="str">
        <x:v>Acquired; subsequently open-sourced</x:v>
      </x:c>
      <x:c r="W9" s="17" t="str">
        <x:v>Dropbox</x:v>
      </x:c>
      <x:c r="X9" s="17" t="n">
        <x:v>2014</x:v>
      </x:c>
      <x:c r="Y9" s="17" t="str">
        <x:v>Former founder</x:v>
      </x:c>
      <x:c r="Z9" s="17" t="str">
        <x:v>https://www.linkedin.com/in/jeffarnold</x:v>
      </x:c>
      <x:c r="AA9" s="17" t="str">
        <x:v>Unknown</x:v>
      </x:c>
      <x:c r="AB9" s="17" t="str">
        <x:v>Unknown</x:v>
      </x:c>
      <x:c r="AC9" s="17" t="str">
        <x:v>Zulip history and acquisition coverage identify the founding team.</x:v>
      </x:c>
      <x:c r="AD9" s="17" t="str">
        <x:v>https://zulip.com/history/</x:v>
      </x:c>
      <x:c r="AE9" s="17" t="str">
        <x:v>https://techcrunch.com/2014/03/17/dropbox-acquires-zulip-a-stealthy-workplace-chat-solution-still-in-private-beta/</x:v>
      </x:c>
      <x:c r="AF9" s="17" t="str">
        <x:v>Howard Lerman social-hub search</x:v>
      </x:c>
      <x:c r="AG9" s="17" t="str">
        <x:v>Howard Lerman LinkedIn post</x:v>
      </x:c>
      <x:c r="AH9" s="17" t="str">
        <x:v>https://www.linkedin.com/posts/howardlerman_i-love-all-founders-but-my-fellow-thomas-activity-7117608482018598912-19gQ</x:v>
      </x:c>
      <x:c r="AI9" s="18" t="n">
        <x:v>5</x:v>
      </x:c>
      <x:c r="AJ9" s="17" t="str">
        <x:v>Unknown</x:v>
      </x:c>
      <x:c r="AK9" s="17" t="str">
        <x:v>MIT</x:v>
      </x:c>
    </x:row>
    <x:row r="10" ht="44" customHeight="1">
      <x:c r="A10" s="17" t="str">
        <x:v>Tim Abbott</x:v>
      </x:c>
      <x:c r="B10" s="17" t="str">
        <x:v>Tim</x:v>
      </x:c>
      <x:c r="C10" s="17" t="str">
        <x:v>Abbott</x:v>
      </x:c>
      <x:c r="D10" s="18" t="str">
        <x:v>2003</x:v>
      </x:c>
      <x:c r="E10" s="17" t="str">
        <x:v>Confirmed</x:v>
      </x:c>
      <x:c r="F10" s="17" t="str">
        <x:v>A 2003 local-news report identifies Abbott as a TJ senior; his MIT page describes the TJ computer-systems lab.</x:v>
      </x:c>
      <x:c r="G10" s="17" t="str">
        <x:v>https://m.connectionnewspapers.com/news/2003/apr/16/tj-students-computerize-cappies-voting/</x:v>
      </x:c>
      <x:c r="H10" s="17" t="str">
        <x:v>Zulip</x:v>
      </x:c>
      <x:c r="I10" s="17" t="str">
        <x:v>https://zulip.com/</x:v>
      </x:c>
      <x:c r="J10" s="17" t="str">
        <x:v>Co-founder</x:v>
      </x:c>
      <x:c r="K10" s="17" t="n">
        <x:v>2012</x:v>
      </x:c>
      <x:c r="L10" s="17" t="str">
        <x:v>Acquired</x:v>
      </x:c>
      <x:c r="M10" s="17" t="str">
        <x:v>Enterprise Software</x:v>
      </x:c>
      <x:c r="N10" s="17" t="str">
        <x:v>Team collaboration</x:v>
      </x:c>
      <x:c r="O10" s="17" t="str">
        <x:v>Threaded team-chat product; later open-sourced after acquisition.</x:v>
      </x:c>
      <x:c r="P10" s="17" t="str">
        <x:v>Cambridge, MA</x:v>
      </x:c>
      <x:c r="Q10" s="17" t="str">
        <x:v>Yes</x:v>
      </x:c>
      <x:c r="R10" s="17" t="str">
        <x:v>Unknown</x:v>
      </x:c>
      <x:c r="S10" s="17" t="str">
        <x:v>Seed</x:v>
      </x:c>
      <x:c r="T10" s="17" t="str">
        <x:v>Unknown</x:v>
      </x:c>
      <x:c r="U10" s="17" t="str">
        <x:v>None</x:v>
      </x:c>
      <x:c r="V10" s="17" t="str">
        <x:v>Acquired; subsequently open-sourced</x:v>
      </x:c>
      <x:c r="W10" s="17" t="str">
        <x:v>Dropbox</x:v>
      </x:c>
      <x:c r="X10" s="17" t="n">
        <x:v>2014</x:v>
      </x:c>
      <x:c r="Y10" s="17" t="str">
        <x:v>Former founder</x:v>
      </x:c>
      <x:c r="Z10" s="17" t="str">
        <x:v>Unknown</x:v>
      </x:c>
      <x:c r="AA10" s="17" t="str">
        <x:v>https://web.mit.edu/tabbott/www/</x:v>
      </x:c>
      <x:c r="AB10" s="17" t="str">
        <x:v>Unknown</x:v>
      </x:c>
      <x:c r="AC10" s="17" t="str">
        <x:v>Zulip history and acquisition coverage identify the founding team.</x:v>
      </x:c>
      <x:c r="AD10" s="17" t="str">
        <x:v>https://zulip.com/history/</x:v>
      </x:c>
      <x:c r="AE10" s="17" t="str">
        <x:v>https://techcrunch.com/2014/03/17/dropbox-acquires-zulip-a-stealthy-workplace-chat-solution-still-in-private-beta/</x:v>
      </x:c>
      <x:c r="AF10" s="17" t="str">
        <x:v>Recursive founder-network expansion</x:v>
      </x:c>
      <x:c r="AG10" s="17" t="str">
        <x:v>Jeff Arnold network expansion</x:v>
      </x:c>
      <x:c r="AH10" s="17" t="str">
        <x:v>https://pilot.com/blog/best-bookkeeping-service-pilot-founding-story</x:v>
      </x:c>
      <x:c r="AI10" s="18" t="n">
        <x:v>5</x:v>
      </x:c>
      <x:c r="AJ10" s="17" t="str">
        <x:v>Unknown</x:v>
      </x:c>
      <x:c r="AK10" s="17" t="str">
        <x:v>MIT</x:v>
      </x:c>
    </x:row>
    <x:row r="11" ht="44" customHeight="1">
      <x:c r="A11" s="17" t="str">
        <x:v>Waseem Daher</x:v>
      </x:c>
      <x:c r="B11" s="17" t="str">
        <x:v>Waseem</x:v>
      </x:c>
      <x:c r="C11" s="17" t="str">
        <x:v>Daher</x:v>
      </x:c>
      <x:c r="D11" s="18" t="str"/>
      <x:c r="E11" s="17" t="str">
        <x:v>Unknown</x:v>
      </x:c>
      <x:c r="F11" s="17" t="str">
        <x:v>TJHSST Founders Initiative identifies Daher as a TJ alumnus; no reliable public graduation year located.</x:v>
      </x:c>
      <x:c r="G11" s="17" t="str">
        <x:v>https://www.tjhsst.network/alumni</x:v>
      </x:c>
      <x:c r="H11" s="17" t="str">
        <x:v>Zulip</x:v>
      </x:c>
      <x:c r="I11" s="17" t="str">
        <x:v>https://zulip.com/</x:v>
      </x:c>
      <x:c r="J11" s="17" t="str">
        <x:v>Co-founder</x:v>
      </x:c>
      <x:c r="K11" s="17" t="n">
        <x:v>2012</x:v>
      </x:c>
      <x:c r="L11" s="17" t="str">
        <x:v>Acquired</x:v>
      </x:c>
      <x:c r="M11" s="17" t="str">
        <x:v>Enterprise Software</x:v>
      </x:c>
      <x:c r="N11" s="17" t="str">
        <x:v>Team collaboration</x:v>
      </x:c>
      <x:c r="O11" s="17" t="str">
        <x:v>Threaded team-chat product; later open-sourced after acquisition.</x:v>
      </x:c>
      <x:c r="P11" s="17" t="str">
        <x:v>Cambridge, MA</x:v>
      </x:c>
      <x:c r="Q11" s="17" t="str">
        <x:v>Yes</x:v>
      </x:c>
      <x:c r="R11" s="17" t="str">
        <x:v>Unknown</x:v>
      </x:c>
      <x:c r="S11" s="17" t="str">
        <x:v>Seed</x:v>
      </x:c>
      <x:c r="T11" s="17" t="str">
        <x:v>Unknown</x:v>
      </x:c>
      <x:c r="U11" s="17" t="str">
        <x:v>None</x:v>
      </x:c>
      <x:c r="V11" s="17" t="str">
        <x:v>Acquired; subsequently open-sourced</x:v>
      </x:c>
      <x:c r="W11" s="17" t="str">
        <x:v>Dropbox</x:v>
      </x:c>
      <x:c r="X11" s="17" t="n">
        <x:v>2014</x:v>
      </x:c>
      <x:c r="Y11" s="17" t="str">
        <x:v>Former founder</x:v>
      </x:c>
      <x:c r="Z11" s="17" t="str">
        <x:v>Unknown</x:v>
      </x:c>
      <x:c r="AA11" s="17" t="str">
        <x:v>https://waseem.substack.com/about</x:v>
      </x:c>
      <x:c r="AB11" s="17" t="str">
        <x:v>Unknown</x:v>
      </x:c>
      <x:c r="AC11" s="17" t="str">
        <x:v>Zulip history and acquisition coverage identify the founding team.</x:v>
      </x:c>
      <x:c r="AD11" s="17" t="str">
        <x:v>https://zulip.com/history/</x:v>
      </x:c>
      <x:c r="AE11" s="17" t="str">
        <x:v>https://techcrunch.com/2014/03/17/dropbox-acquires-zulip-a-stealthy-workplace-chat-solution-still-in-private-beta/</x:v>
      </x:c>
      <x:c r="AF11" s="17" t="str">
        <x:v>Recursive founder-network expansion</x:v>
      </x:c>
      <x:c r="AG11" s="17" t="str">
        <x:v>Jeff Arnold network expansion</x:v>
      </x:c>
      <x:c r="AH11" s="17" t="str">
        <x:v>https://pilot.com/blog/best-bookkeeping-service-pilot-founding-story</x:v>
      </x:c>
      <x:c r="AI11" s="18" t="n">
        <x:v>5</x:v>
      </x:c>
      <x:c r="AJ11" s="17" t="str">
        <x:v>Unknown</x:v>
      </x:c>
      <x:c r="AK11" s="17" t="str">
        <x:v>MIT</x:v>
      </x:c>
    </x:row>
    <x:row r="12" ht="44" customHeight="1">
      <x:c r="A12" s="17" t="str">
        <x:v>Jeff Arnold</x:v>
      </x:c>
      <x:c r="B12" s="17" t="str">
        <x:v>Jeff</x:v>
      </x:c>
      <x:c r="C12" s="17" t="str">
        <x:v>Arnold</x:v>
      </x:c>
      <x:c r="D12" s="18" t="str">
        <x:v>2003</x:v>
      </x:c>
      <x:c r="E12" s="17" t="str">
        <x:v>Confirmed</x:v>
      </x:c>
      <x:c r="F12" s="17" t="str">
        <x:v>A 2003 local-news report identifies Arnold as a TJ senior; TJ founder materials also identify him as an alumnus.</x:v>
      </x:c>
      <x:c r="G12" s="17" t="str">
        <x:v>https://m.connectionnewspapers.com/news/2003/apr/16/tj-students-computerize-cappies-voting/</x:v>
      </x:c>
      <x:c r="H12" s="17" t="str">
        <x:v>Pilot</x:v>
      </x:c>
      <x:c r="I12" s="17" t="str">
        <x:v>https://pilot.com/</x:v>
      </x:c>
      <x:c r="J12" s="17" t="str">
        <x:v>Co-founder</x:v>
      </x:c>
      <x:c r="K12" s="17" t="n">
        <x:v>2017</x:v>
      </x:c>
      <x:c r="L12" s="17" t="str">
        <x:v>Active</x:v>
      </x:c>
      <x:c r="M12" s="17" t="str">
        <x:v>Fintech</x:v>
      </x:c>
      <x:c r="N12" s="17" t="str">
        <x:v>Bookkeeping and finance operations</x:v>
      </x:c>
      <x:c r="O12" s="17" t="str">
        <x:v>Bookkeeping, tax and CFO services for startups and small businesses.</x:v>
      </x:c>
      <x:c r="P12" s="17" t="str">
        <x:v>San Francisco, CA</x:v>
      </x:c>
      <x:c r="Q12" s="17" t="str">
        <x:v>Yes</x:v>
      </x:c>
      <x:c r="R12" s="17" t="str">
        <x:v>At least $100M publicly announced</x:v>
      </x:c>
      <x:c r="S12" s="17" t="str">
        <x:v>Series C ($100M, 2021)</x:v>
      </x:c>
      <x:c r="T12" s="17" t="str">
        <x:v>Index Ventures; Sequoia Capital; Bezos Expeditions; Whale Rock</x:v>
      </x:c>
      <x:c r="U12" s="17" t="str">
        <x:v>None</x:v>
      </x:c>
      <x:c r="V12" s="17" t="str">
        <x:v>None known</x:v>
      </x:c>
      <x:c r="W12" s="17" t="str">
        <x:v>Unknown</x:v>
      </x:c>
      <x:c r="X12" s="17" t="str">
        <x:v>Unknown</x:v>
      </x:c>
      <x:c r="Y12" s="17" t="str">
        <x:v>Co-founder</x:v>
      </x:c>
      <x:c r="Z12" s="17" t="str">
        <x:v>https://www.linkedin.com/in/jeffarnold</x:v>
      </x:c>
      <x:c r="AA12" s="17" t="str">
        <x:v>Unknown</x:v>
      </x:c>
      <x:c r="AB12" s="17" t="str">
        <x:v>Unknown</x:v>
      </x:c>
      <x:c r="AC12" s="17" t="str">
        <x:v>Pilot’s official founding story identifies the co-founders.</x:v>
      </x:c>
      <x:c r="AD12" s="17" t="str">
        <x:v>https://pilot.com/blog/best-bookkeeping-service-pilot-founding-story</x:v>
      </x:c>
      <x:c r="AE12" s="17" t="str">
        <x:v>https://pilot.com/blog/pilot-unicorn-bezos-expeditions-whale-rock</x:v>
      </x:c>
      <x:c r="AF12" s="17" t="str">
        <x:v>Howard Lerman social-hub search</x:v>
      </x:c>
      <x:c r="AG12" s="17" t="str">
        <x:v>Howard Lerman LinkedIn post</x:v>
      </x:c>
      <x:c r="AH12" s="17" t="str">
        <x:v>https://www.linkedin.com/posts/howardlerman_i-love-all-founders-but-my-fellow-thomas-activity-7117608482018598912-19gQ</x:v>
      </x:c>
      <x:c r="AI12" s="18" t="n">
        <x:v>5</x:v>
      </x:c>
      <x:c r="AJ12" s="17" t="str">
        <x:v>Unknown</x:v>
      </x:c>
      <x:c r="AK12" s="17" t="str">
        <x:v>MIT</x:v>
      </x:c>
    </x:row>
    <x:row r="13" ht="44" customHeight="1">
      <x:c r="A13" s="17" t="str">
        <x:v>Waseem Daher</x:v>
      </x:c>
      <x:c r="B13" s="17" t="str">
        <x:v>Waseem</x:v>
      </x:c>
      <x:c r="C13" s="17" t="str">
        <x:v>Daher</x:v>
      </x:c>
      <x:c r="D13" s="18" t="str"/>
      <x:c r="E13" s="17" t="str">
        <x:v>Unknown</x:v>
      </x:c>
      <x:c r="F13" s="17" t="str">
        <x:v>TJHSST Founders Initiative identifies Daher as a TJ alumnus; no reliable public graduation year located.</x:v>
      </x:c>
      <x:c r="G13" s="17" t="str">
        <x:v>https://www.tjhsst.network/alumni</x:v>
      </x:c>
      <x:c r="H13" s="17" t="str">
        <x:v>Pilot</x:v>
      </x:c>
      <x:c r="I13" s="17" t="str">
        <x:v>https://pilot.com/</x:v>
      </x:c>
      <x:c r="J13" s="17" t="str">
        <x:v>Co-founder</x:v>
      </x:c>
      <x:c r="K13" s="17" t="n">
        <x:v>2017</x:v>
      </x:c>
      <x:c r="L13" s="17" t="str">
        <x:v>Active</x:v>
      </x:c>
      <x:c r="M13" s="17" t="str">
        <x:v>Fintech</x:v>
      </x:c>
      <x:c r="N13" s="17" t="str">
        <x:v>Bookkeeping and finance operations</x:v>
      </x:c>
      <x:c r="O13" s="17" t="str">
        <x:v>Bookkeeping, tax and CFO services for startups and small businesses.</x:v>
      </x:c>
      <x:c r="P13" s="17" t="str">
        <x:v>San Francisco, CA</x:v>
      </x:c>
      <x:c r="Q13" s="17" t="str">
        <x:v>Yes</x:v>
      </x:c>
      <x:c r="R13" s="17" t="str">
        <x:v>At least $100M publicly announced</x:v>
      </x:c>
      <x:c r="S13" s="17" t="str">
        <x:v>Series C ($100M, 2021)</x:v>
      </x:c>
      <x:c r="T13" s="17" t="str">
        <x:v>Index Ventures; Sequoia Capital; Bezos Expeditions; Whale Rock</x:v>
      </x:c>
      <x:c r="U13" s="17" t="str">
        <x:v>None</x:v>
      </x:c>
      <x:c r="V13" s="17" t="str">
        <x:v>None known</x:v>
      </x:c>
      <x:c r="W13" s="17" t="str">
        <x:v>Unknown</x:v>
      </x:c>
      <x:c r="X13" s="17" t="str">
        <x:v>Unknown</x:v>
      </x:c>
      <x:c r="Y13" s="17" t="str">
        <x:v>Co-founder</x:v>
      </x:c>
      <x:c r="Z13" s="17" t="str">
        <x:v>Unknown</x:v>
      </x:c>
      <x:c r="AA13" s="17" t="str">
        <x:v>https://waseem.substack.com/about</x:v>
      </x:c>
      <x:c r="AB13" s="17" t="str">
        <x:v>Unknown</x:v>
      </x:c>
      <x:c r="AC13" s="17" t="str">
        <x:v>Pilot’s official founding story identifies the co-founders.</x:v>
      </x:c>
      <x:c r="AD13" s="17" t="str">
        <x:v>https://pilot.com/blog/best-bookkeeping-service-pilot-founding-story</x:v>
      </x:c>
      <x:c r="AE13" s="17" t="str">
        <x:v>https://pilot.com/blog/pilot-unicorn-bezos-expeditions-whale-rock</x:v>
      </x:c>
      <x:c r="AF13" s="17" t="str">
        <x:v>Recursive founder-network expansion</x:v>
      </x:c>
      <x:c r="AG13" s="17" t="str">
        <x:v>Jeff Arnold network expansion</x:v>
      </x:c>
      <x:c r="AH13" s="17" t="str">
        <x:v>https://pilot.com/blog/best-bookkeeping-service-pilot-founding-story</x:v>
      </x:c>
      <x:c r="AI13" s="18" t="n">
        <x:v>5</x:v>
      </x:c>
      <x:c r="AJ13" s="17" t="str">
        <x:v>Unknown</x:v>
      </x:c>
      <x:c r="AK13" s="17" t="str">
        <x:v>MIT</x:v>
      </x:c>
    </x:row>
    <x:row r="14" ht="44" customHeight="1">
      <x:c r="A14" s="17" t="str">
        <x:v>Chris Arraya</x:v>
      </x:c>
      <x:c r="B14" s="17" t="str">
        <x:v>Chris</x:v>
      </x:c>
      <x:c r="C14" s="17" t="str">
        <x:v>Arraya</x:v>
      </x:c>
      <x:c r="D14" s="18" t="str">
        <x:v>2022</x:v>
      </x:c>
      <x:c r="E14" s="17" t="str">
        <x:v>Confirmed</x:v>
      </x:c>
      <x:c r="F14" s="17" t="str">
        <x:v>TJHSST Founders Initiative lists Arraya as Class of 2022.</x:v>
      </x:c>
      <x:c r="G14" s="17" t="str">
        <x:v>https://www.tjhsst.network/alumni</x:v>
      </x:c>
      <x:c r="H14" s="17" t="str">
        <x:v>Skalara</x:v>
      </x:c>
      <x:c r="I14" s="17" t="str">
        <x:v>https://www.skalara.com/</x:v>
      </x:c>
      <x:c r="J14" s="17" t="str">
        <x:v>Founder</x:v>
      </x:c>
      <x:c r="K14" s="17" t="n">
        <x:v>2022</x:v>
      </x:c>
      <x:c r="L14" s="17" t="str">
        <x:v>Active</x:v>
      </x:c>
      <x:c r="M14" s="17" t="str">
        <x:v>Artificial Intelligence</x:v>
      </x:c>
      <x:c r="N14" s="17" t="str">
        <x:v>Sales intelligence</x:v>
      </x:c>
      <x:c r="O14" s="17" t="str">
        <x:v>AI software company founded by a recent TJ alumnus.</x:v>
      </x:c>
      <x:c r="P14" s="17" t="str">
        <x:v>Unknown</x:v>
      </x:c>
      <x:c r="Q14" s="17" t="str">
        <x:v>Unknown</x:v>
      </x:c>
      <x:c r="R14" s="17" t="str">
        <x:v>Unknown</x:v>
      </x:c>
      <x:c r="S14" s="17" t="str">
        <x:v>Unknown</x:v>
      </x:c>
      <x:c r="T14" s="17" t="str">
        <x:v>Unknown</x:v>
      </x:c>
      <x:c r="U14" s="17" t="str">
        <x:v>Unknown</x:v>
      </x:c>
      <x:c r="V14" s="17" t="str">
        <x:v>None known</x:v>
      </x:c>
      <x:c r="W14" s="17" t="str">
        <x:v>Unknown</x:v>
      </x:c>
      <x:c r="X14" s="17" t="str">
        <x:v>Unknown</x:v>
      </x:c>
      <x:c r="Y14" s="17" t="str">
        <x:v>Unknown</x:v>
      </x:c>
      <x:c r="Z14" s="17" t="str">
        <x:v>Unknown</x:v>
      </x:c>
      <x:c r="AA14" s="17" t="str">
        <x:v>Unknown</x:v>
      </x:c>
      <x:c r="AB14" s="17" t="str">
        <x:v>Unknown</x:v>
      </x:c>
      <x:c r="AC14" s="17" t="str">
        <x:v>TJHSST Founders Initiative company profile identifies Arraya as founder.</x:v>
      </x:c>
      <x:c r="AD14" s="17" t="str">
        <x:v>https://www.tjhsst.network/companies/skalara</x:v>
      </x:c>
      <x:c r="AE14" s="17" t="str">
        <x:v>Unknown</x:v>
      </x:c>
      <x:c r="AF14" s="17" t="str">
        <x:v>TJHSST founder directory</x:v>
      </x:c>
      <x:c r="AG14" s="17" t="str">
        <x:v>TJHSST Founders Initiative</x:v>
      </x:c>
      <x:c r="AH14" s="17" t="str">
        <x:v>https://www.tjhsst.network/alumni</x:v>
      </x:c>
      <x:c r="AI14" s="18" t="n">
        <x:v>3</x:v>
      </x:c>
      <x:c r="AJ14" s="17" t="str">
        <x:v>Unknown</x:v>
      </x:c>
      <x:c r="AK14" s="17" t="str">
        <x:v>Unknown</x:v>
      </x:c>
    </x:row>
    <x:row r="15" ht="44" customHeight="1">
      <x:c r="A15" s="17" t="str">
        <x:v>Chappy Asel</x:v>
      </x:c>
      <x:c r="B15" s="17" t="str">
        <x:v>Chappy</x:v>
      </x:c>
      <x:c r="C15" s="17" t="str">
        <x:v>Asel</x:v>
      </x:c>
      <x:c r="D15" s="18" t="str">
        <x:v>2017</x:v>
      </x:c>
      <x:c r="E15" s="17" t="str">
        <x:v>Confirmed</x:v>
      </x:c>
      <x:c r="F15" s="17" t="str">
        <x:v>The official 2025 TJSTAR guide identifies Asel as TJHSST Class of 2017.</x:v>
      </x:c>
      <x:c r="G15" s="17" t="str">
        <x:v>https://tjhsst.fcps.edu/sites/default/files/media/inline-files/tjSTAR-Guide-2025.pdf</x:v>
      </x:c>
      <x:c r="H15" s="17" t="str">
        <x:v>The AI Collective</x:v>
      </x:c>
      <x:c r="I15" s="17" t="str">
        <x:v>https://www.theaicollective.com/</x:v>
      </x:c>
      <x:c r="J15" s="17" t="str">
        <x:v>Co-founder</x:v>
      </x:c>
      <x:c r="K15" s="17" t="n">
        <x:v>2022</x:v>
      </x:c>
      <x:c r="L15" s="17" t="str">
        <x:v>Active</x:v>
      </x:c>
      <x:c r="M15" s="17" t="str">
        <x:v>Nonprofit</x:v>
      </x:c>
      <x:c r="N15" s="17" t="str">
        <x:v>AI community</x:v>
      </x:c>
      <x:c r="O15" s="17" t="str">
        <x:v>Community and events platform for builders and researchers in artificial intelligence.</x:v>
      </x:c>
      <x:c r="P15" s="17" t="str">
        <x:v>San Francisco, CA</x:v>
      </x:c>
      <x:c r="Q15" s="17" t="str">
        <x:v>No</x:v>
      </x:c>
      <x:c r="R15" s="17" t="str">
        <x:v>Unknown</x:v>
      </x:c>
      <x:c r="S15" s="17" t="str">
        <x:v>Community sponsorships</x:v>
      </x:c>
      <x:c r="T15" s="17" t="str">
        <x:v>Unknown</x:v>
      </x:c>
      <x:c r="U15" s="17" t="str">
        <x:v>None</x:v>
      </x:c>
      <x:c r="V15" s="17" t="str">
        <x:v>None known</x:v>
      </x:c>
      <x:c r="W15" s="17" t="str">
        <x:v>Unknown</x:v>
      </x:c>
      <x:c r="X15" s="17" t="str">
        <x:v>Unknown</x:v>
      </x:c>
      <x:c r="Y15" s="17" t="str">
        <x:v>Unknown</x:v>
      </x:c>
      <x:c r="Z15" s="17" t="str">
        <x:v>https://www.linkedin.com/in/chappyasel</x:v>
      </x:c>
      <x:c r="AA15" s="17" t="str">
        <x:v>Unknown</x:v>
      </x:c>
      <x:c r="AB15" s="17" t="str">
        <x:v>Unknown</x:v>
      </x:c>
      <x:c r="AC15" s="17" t="str">
        <x:v>Asel’s public posts and official school event biography identify him as co-founder.</x:v>
      </x:c>
      <x:c r="AD15" s="17" t="str">
        <x:v>https://www.linkedin.com/posts/chappyasel_ive-spent-three-years-building-something-activity-7445130268694319104-udgi</x:v>
      </x:c>
      <x:c r="AE15" s="17" t="str">
        <x:v>Unknown</x:v>
      </x:c>
      <x:c r="AF15" s="17" t="str">
        <x:v>Named community-node search</x:v>
      </x:c>
      <x:c r="AG15" s="17" t="str">
        <x:v>Chappy Asel public activity</x:v>
      </x:c>
      <x:c r="AH15" s="17" t="str">
        <x:v>https://www.linkedin.com/posts/chappyasel_what-an-absolute-honor-and-thrill-to-return-activity-7333908809943277568-6C1u</x:v>
      </x:c>
      <x:c r="AI15" s="18" t="n">
        <x:v>5</x:v>
      </x:c>
      <x:c r="AJ15" s="17" t="str">
        <x:v>Unknown</x:v>
      </x:c>
      <x:c r="AK15" s="17" t="str">
        <x:v>University of Virginia</x:v>
      </x:c>
    </x:row>
    <x:row r="16" ht="44" customHeight="1">
      <x:c r="A16" s="17" t="str">
        <x:v>Chappy Asel</x:v>
      </x:c>
      <x:c r="B16" s="17" t="str">
        <x:v>Chappy</x:v>
      </x:c>
      <x:c r="C16" s="17" t="str">
        <x:v>Asel</x:v>
      </x:c>
      <x:c r="D16" s="18" t="str">
        <x:v>2017</x:v>
      </x:c>
      <x:c r="E16" s="17" t="str">
        <x:v>Confirmed</x:v>
      </x:c>
      <x:c r="F16" s="17" t="str">
        <x:v>The official 2025 TJSTAR guide identifies Asel as TJHSST Class of 2017.</x:v>
      </x:c>
      <x:c r="G16" s="17" t="str">
        <x:v>https://tjhsst.fcps.edu/sites/default/files/media/inline-files/tjSTAR-Guide-2025.pdf</x:v>
      </x:c>
      <x:c r="H16" s="17" t="str">
        <x:v>Cofactory</x:v>
      </x:c>
      <x:c r="I16" s="17" t="str">
        <x:v>https://www.cofactory.ai/</x:v>
      </x:c>
      <x:c r="J16" s="17" t="str">
        <x:v>Co-founder</x:v>
      </x:c>
      <x:c r="K16" s="17" t="n">
        <x:v>2025</x:v>
      </x:c>
      <x:c r="L16" s="17" t="str">
        <x:v>Active</x:v>
      </x:c>
      <x:c r="M16" s="17" t="str">
        <x:v>Artificial Intelligence</x:v>
      </x:c>
      <x:c r="N16" s="17" t="str">
        <x:v>AI company-building</x:v>
      </x:c>
      <x:c r="O16" s="17" t="str">
        <x:v>AI-native company-building and founder community initiative.</x:v>
      </x:c>
      <x:c r="P16" s="17" t="str">
        <x:v>San Francisco, CA</x:v>
      </x:c>
      <x:c r="Q16" s="17" t="str">
        <x:v>Unknown</x:v>
      </x:c>
      <x:c r="R16" s="17" t="str">
        <x:v>Unknown</x:v>
      </x:c>
      <x:c r="S16" s="17" t="str">
        <x:v>Unknown</x:v>
      </x:c>
      <x:c r="T16" s="17" t="str">
        <x:v>Unknown</x:v>
      </x:c>
      <x:c r="U16" s="17" t="str">
        <x:v>Unknown</x:v>
      </x:c>
      <x:c r="V16" s="17" t="str">
        <x:v>None known</x:v>
      </x:c>
      <x:c r="W16" s="17" t="str">
        <x:v>Unknown</x:v>
      </x:c>
      <x:c r="X16" s="17" t="str">
        <x:v>Unknown</x:v>
      </x:c>
      <x:c r="Y16" s="17" t="str">
        <x:v>Unknown</x:v>
      </x:c>
      <x:c r="Z16" s="17" t="str">
        <x:v>https://www.linkedin.com/in/chappyasel</x:v>
      </x:c>
      <x:c r="AA16" s="17" t="str">
        <x:v>Unknown</x:v>
      </x:c>
      <x:c r="AB16" s="17" t="str">
        <x:v>Unknown</x:v>
      </x:c>
      <x:c r="AC16" s="17" t="str">
        <x:v>Official TJSTAR guide identifies Asel as a Cofactory co-founder.</x:v>
      </x:c>
      <x:c r="AD16" s="17" t="str">
        <x:v>https://tjhsst.fcps.edu/sites/default/files/media/inline-files/tjSTAR-Guide-2025.pdf</x:v>
      </x:c>
      <x:c r="AE16" s="17" t="str">
        <x:v>Unknown</x:v>
      </x:c>
      <x:c r="AF16" s="17" t="str">
        <x:v>Named community-node search</x:v>
      </x:c>
      <x:c r="AG16" s="17" t="str">
        <x:v>Chappy Asel public activity</x:v>
      </x:c>
      <x:c r="AH16" s="17" t="str">
        <x:v>https://www.linkedin.com/posts/chappyasel_what-an-absolute-honor-and-thrill-to-return-activity-7333908809943277568-6C1u</x:v>
      </x:c>
      <x:c r="AI16" s="18" t="n">
        <x:v>5</x:v>
      </x:c>
      <x:c r="AJ16" s="17" t="str">
        <x:v>Unknown</x:v>
      </x:c>
      <x:c r="AK16" s="17" t="str">
        <x:v>University of Virginia</x:v>
      </x:c>
    </x:row>
    <x:row r="17" ht="44" customHeight="1">
      <x:c r="A17" s="17" t="str">
        <x:v>Zarif Azher</x:v>
      </x:c>
      <x:c r="B17" s="17" t="str">
        <x:v>Zarif</x:v>
      </x:c>
      <x:c r="C17" s="17" t="str">
        <x:v>Azher</x:v>
      </x:c>
      <x:c r="D17" s="18" t="str"/>
      <x:c r="E17" s="17" t="str">
        <x:v>Unknown</x:v>
      </x:c>
      <x:c r="F17" s="17" t="str">
        <x:v>TJHSST Founders Initiative identifies Azher as a TJ alumnus; no graduation year was located.</x:v>
      </x:c>
      <x:c r="G17" s="17" t="str">
        <x:v>https://www.tjhsst.network/alumni</x:v>
      </x:c>
      <x:c r="H17" s="17" t="str">
        <x:v>Nexa Labs</x:v>
      </x:c>
      <x:c r="I17" s="17" t="str">
        <x:v>https://www.nexa.ai/</x:v>
      </x:c>
      <x:c r="J17" s="17" t="str">
        <x:v>Founder and CEO</x:v>
      </x:c>
      <x:c r="K17" s="17" t="n">
        <x:v>2025</x:v>
      </x:c>
      <x:c r="L17" s="17" t="str">
        <x:v>Acquired</x:v>
      </x:c>
      <x:c r="M17" s="17" t="str">
        <x:v>Developer Tools</x:v>
      </x:c>
      <x:c r="N17" s="17" t="str">
        <x:v>AI agent tooling</x:v>
      </x:c>
      <x:c r="O17" s="17" t="str">
        <x:v>Y Combinator S25 company building AI agent infrastructure.</x:v>
      </x:c>
      <x:c r="P17" s="17" t="str">
        <x:v>San Francisco, CA</x:v>
      </x:c>
      <x:c r="Q17" s="17" t="str">
        <x:v>Yes</x:v>
      </x:c>
      <x:c r="R17" s="17" t="str">
        <x:v>Unknown</x:v>
      </x:c>
      <x:c r="S17" s="17" t="str">
        <x:v>YC S25</x:v>
      </x:c>
      <x:c r="T17" s="17" t="str">
        <x:v>Y Combinator</x:v>
      </x:c>
      <x:c r="U17" s="17" t="str">
        <x:v>Y Combinator S25</x:v>
      </x:c>
      <x:c r="V17" s="17" t="str">
        <x:v>Acquired; terms undisclosed</x:v>
      </x:c>
      <x:c r="W17" s="17" t="str">
        <x:v>Unknown</x:v>
      </x:c>
      <x:c r="X17" s="17" t="n">
        <x:v>2026</x:v>
      </x:c>
      <x:c r="Y17" s="17" t="str">
        <x:v>Former founder</x:v>
      </x:c>
      <x:c r="Z17" s="17" t="str">
        <x:v>Unknown</x:v>
      </x:c>
      <x:c r="AA17" s="17" t="str">
        <x:v>Unknown</x:v>
      </x:c>
      <x:c r="AB17" s="17" t="str">
        <x:v>Unknown</x:v>
      </x:c>
      <x:c r="AC17" s="17" t="str">
        <x:v>Y Combinator’s company profile identifies Azher as founder/CEO.</x:v>
      </x:c>
      <x:c r="AD17" s="17" t="str">
        <x:v>https://www.ycombinator.com/companies/nexa-labs</x:v>
      </x:c>
      <x:c r="AE17" s="17" t="str">
        <x:v>Unknown</x:v>
      </x:c>
      <x:c r="AF17" s="17" t="str">
        <x:v>TJHSST founder directory</x:v>
      </x:c>
      <x:c r="AG17" s="17" t="str">
        <x:v>TJHSST Founders Initiative</x:v>
      </x:c>
      <x:c r="AH17" s="17" t="str">
        <x:v>https://www.tjhsst.network/alumni</x:v>
      </x:c>
      <x:c r="AI17" s="18" t="n">
        <x:v>4</x:v>
      </x:c>
      <x:c r="AJ17" s="17" t="str">
        <x:v>Unknown</x:v>
      </x:c>
      <x:c r="AK17" s="17" t="str">
        <x:v>University of Virginia</x:v>
      </x:c>
    </x:row>
    <x:row r="18" ht="44" customHeight="1">
      <x:c r="A18" s="17" t="str">
        <x:v>Zac Baker</x:v>
      </x:c>
      <x:c r="B18" s="17" t="str">
        <x:v>Zac</x:v>
      </x:c>
      <x:c r="C18" s="17" t="str">
        <x:v>Baker</x:v>
      </x:c>
      <x:c r="D18" s="18" t="str"/>
      <x:c r="E18" s="17" t="str">
        <x:v>Unknown</x:v>
      </x:c>
      <x:c r="F18" s="17" t="str">
        <x:v>TJHSST Founders Initiative identifies Baker as a TJ alumnus; no graduation year was located.</x:v>
      </x:c>
      <x:c r="G18" s="17" t="str">
        <x:v>https://www.tjhsst.network/alumni</x:v>
      </x:c>
      <x:c r="H18" s="17" t="str">
        <x:v>Terac</x:v>
      </x:c>
      <x:c r="I18" s="17" t="str">
        <x:v>https://www.terac.ai/</x:v>
      </x:c>
      <x:c r="J18" s="17" t="str">
        <x:v>Co-founder</x:v>
      </x:c>
      <x:c r="K18" s="17" t="n">
        <x:v>2025</x:v>
      </x:c>
      <x:c r="L18" s="17" t="str">
        <x:v>Active</x:v>
      </x:c>
      <x:c r="M18" s="17" t="str">
        <x:v>Artificial Intelligence</x:v>
      </x:c>
      <x:c r="N18" s="17" t="str">
        <x:v>Enterprise AI</x:v>
      </x:c>
      <x:c r="O18" s="17" t="str">
        <x:v>AI software company backed by Antigravity Capital.</x:v>
      </x:c>
      <x:c r="P18" s="17" t="str">
        <x:v>San Francisco, CA</x:v>
      </x:c>
      <x:c r="Q18" s="17" t="str">
        <x:v>Yes</x:v>
      </x:c>
      <x:c r="R18" s="17" t="str">
        <x:v>Unknown</x:v>
      </x:c>
      <x:c r="S18" s="17" t="str">
        <x:v>Pre-seed / seed</x:v>
      </x:c>
      <x:c r="T18" s="17" t="str">
        <x:v>Antigravity Capital</x:v>
      </x:c>
      <x:c r="U18" s="17" t="str">
        <x:v>Unknown</x:v>
      </x:c>
      <x:c r="V18" s="17" t="str">
        <x:v>None known</x:v>
      </x:c>
      <x:c r="W18" s="17" t="str">
        <x:v>Unknown</x:v>
      </x:c>
      <x:c r="X18" s="17" t="str">
        <x:v>Unknown</x:v>
      </x:c>
      <x:c r="Y18" s="17" t="str">
        <x:v>Unknown</x:v>
      </x:c>
      <x:c r="Z18" s="17" t="str">
        <x:v>Unknown</x:v>
      </x:c>
      <x:c r="AA18" s="17" t="str">
        <x:v>Unknown</x:v>
      </x:c>
      <x:c r="AB18" s="17" t="str">
        <x:v>Unknown</x:v>
      </x:c>
      <x:c r="AC18" s="17" t="str">
        <x:v>Investor portfolio page identifies both as Terac founders.</x:v>
      </x:c>
      <x:c r="AD18" s="17" t="str">
        <x:v>https://antigravity.capital/portfolio/terac</x:v>
      </x:c>
      <x:c r="AE18" s="17" t="str">
        <x:v>Unknown</x:v>
      </x:c>
      <x:c r="AF18" s="17" t="str">
        <x:v>TJHSST founder directory</x:v>
      </x:c>
      <x:c r="AG18" s="17" t="str">
        <x:v>TJHSST Founders Initiative</x:v>
      </x:c>
      <x:c r="AH18" s="17" t="str">
        <x:v>https://www.tjhsst.network/alumni</x:v>
      </x:c>
      <x:c r="AI18" s="18" t="n">
        <x:v>4</x:v>
      </x:c>
      <x:c r="AJ18" s="17" t="str">
        <x:v>Unknown</x:v>
      </x:c>
      <x:c r="AK18" s="17" t="str">
        <x:v>Unknown</x:v>
      </x:c>
    </x:row>
    <x:row r="19" ht="44" customHeight="1">
      <x:c r="A19" s="17" t="str">
        <x:v>Jack Blair</x:v>
      </x:c>
      <x:c r="B19" s="17" t="str">
        <x:v>Jack</x:v>
      </x:c>
      <x:c r="C19" s="17" t="str">
        <x:v>Blair</x:v>
      </x:c>
      <x:c r="D19" s="18" t="str">
        <x:v>2022</x:v>
      </x:c>
      <x:c r="E19" s="17" t="str">
        <x:v>Confirmed</x:v>
      </x:c>
      <x:c r="F19" s="17" t="str">
        <x:v>TJHSST Founders Initiative lists Blair as Class of 2022.</x:v>
      </x:c>
      <x:c r="G19" s="17" t="str">
        <x:v>https://www.tjhsst.network/alumni</x:v>
      </x:c>
      <x:c r="H19" s="17" t="str">
        <x:v>Terac</x:v>
      </x:c>
      <x:c r="I19" s="17" t="str">
        <x:v>https://www.terac.ai/</x:v>
      </x:c>
      <x:c r="J19" s="17" t="str">
        <x:v>Co-founder</x:v>
      </x:c>
      <x:c r="K19" s="17" t="n">
        <x:v>2025</x:v>
      </x:c>
      <x:c r="L19" s="17" t="str">
        <x:v>Active</x:v>
      </x:c>
      <x:c r="M19" s="17" t="str">
        <x:v>Artificial Intelligence</x:v>
      </x:c>
      <x:c r="N19" s="17" t="str">
        <x:v>Enterprise AI</x:v>
      </x:c>
      <x:c r="O19" s="17" t="str">
        <x:v>AI software company backed by Antigravity Capital.</x:v>
      </x:c>
      <x:c r="P19" s="17" t="str">
        <x:v>San Francisco, CA</x:v>
      </x:c>
      <x:c r="Q19" s="17" t="str">
        <x:v>Yes</x:v>
      </x:c>
      <x:c r="R19" s="17" t="str">
        <x:v>Unknown</x:v>
      </x:c>
      <x:c r="S19" s="17" t="str">
        <x:v>Pre-seed / seed</x:v>
      </x:c>
      <x:c r="T19" s="17" t="str">
        <x:v>Antigravity Capital</x:v>
      </x:c>
      <x:c r="U19" s="17" t="str">
        <x:v>Unknown</x:v>
      </x:c>
      <x:c r="V19" s="17" t="str">
        <x:v>None known</x:v>
      </x:c>
      <x:c r="W19" s="17" t="str">
        <x:v>Unknown</x:v>
      </x:c>
      <x:c r="X19" s="17" t="str">
        <x:v>Unknown</x:v>
      </x:c>
      <x:c r="Y19" s="17" t="str">
        <x:v>Unknown</x:v>
      </x:c>
      <x:c r="Z19" s="17" t="str">
        <x:v>Unknown</x:v>
      </x:c>
      <x:c r="AA19" s="17" t="str">
        <x:v>Unknown</x:v>
      </x:c>
      <x:c r="AB19" s="17" t="str">
        <x:v>Unknown</x:v>
      </x:c>
      <x:c r="AC19" s="17" t="str">
        <x:v>Investor portfolio page identifies both as Terac founders.</x:v>
      </x:c>
      <x:c r="AD19" s="17" t="str">
        <x:v>https://antigravity.capital/portfolio/terac</x:v>
      </x:c>
      <x:c r="AE19" s="17" t="str">
        <x:v>Unknown</x:v>
      </x:c>
      <x:c r="AF19" s="17" t="str">
        <x:v>TJHSST founder directory</x:v>
      </x:c>
      <x:c r="AG19" s="17" t="str">
        <x:v>TJHSST Founders Initiative</x:v>
      </x:c>
      <x:c r="AH19" s="17" t="str">
        <x:v>https://www.tjhsst.network/alumni</x:v>
      </x:c>
      <x:c r="AI19" s="18" t="n">
        <x:v>4</x:v>
      </x:c>
      <x:c r="AJ19" s="17" t="str">
        <x:v>Unknown</x:v>
      </x:c>
      <x:c r="AK19" s="17" t="str">
        <x:v>University of Virginia</x:v>
      </x:c>
    </x:row>
    <x:row r="20" ht="44" customHeight="1">
      <x:c r="A20" s="17" t="str">
        <x:v>Jack Blair</x:v>
      </x:c>
      <x:c r="B20" s="17" t="str">
        <x:v>Jack</x:v>
      </x:c>
      <x:c r="C20" s="17" t="str">
        <x:v>Blair</x:v>
      </x:c>
      <x:c r="D20" s="18" t="str">
        <x:v>2022</x:v>
      </x:c>
      <x:c r="E20" s="17" t="str">
        <x:v>Confirmed</x:v>
      </x:c>
      <x:c r="F20" s="17" t="str">
        <x:v>TJHSST Founders Initiative lists Blair as Class of 2022.</x:v>
      </x:c>
      <x:c r="G20" s="17" t="str">
        <x:v>https://www.tjhsst.network/alumni</x:v>
      </x:c>
      <x:c r="H20" s="17" t="str">
        <x:v>Tailed</x:v>
      </x:c>
      <x:c r="I20" s="17" t="str">
        <x:v>Unknown</x:v>
      </x:c>
      <x:c r="J20" s="17" t="str">
        <x:v>Co-founder</x:v>
      </x:c>
      <x:c r="K20" s="17" t="n">
        <x:v>2022</x:v>
      </x:c>
      <x:c r="L20" s="17" t="str">
        <x:v>Acquired</x:v>
      </x:c>
      <x:c r="M20" s="17" t="str">
        <x:v>Consumer</x:v>
      </x:c>
      <x:c r="N20" s="17" t="str">
        <x:v>Social discovery</x:v>
      </x:c>
      <x:c r="O20" s="17" t="str">
        <x:v>Consumer social startup previously co-founded by Jack Blair.</x:v>
      </x:c>
      <x:c r="P20" s="17" t="str">
        <x:v>Unknown</x:v>
      </x:c>
      <x:c r="Q20" s="17" t="str">
        <x:v>Yes</x:v>
      </x:c>
      <x:c r="R20" s="17" t="str">
        <x:v>Unknown</x:v>
      </x:c>
      <x:c r="S20" s="17" t="str">
        <x:v>Unknown</x:v>
      </x:c>
      <x:c r="T20" s="17" t="str">
        <x:v>Unknown</x:v>
      </x:c>
      <x:c r="U20" s="17" t="str">
        <x:v>Unknown</x:v>
      </x:c>
      <x:c r="V20" s="17" t="str">
        <x:v>Acquired; terms undisclosed</x:v>
      </x:c>
      <x:c r="W20" s="17" t="str">
        <x:v>Unknown</x:v>
      </x:c>
      <x:c r="X20" s="17" t="str">
        <x:v>Unknown</x:v>
      </x:c>
      <x:c r="Y20" s="17" t="str">
        <x:v>Former founder</x:v>
      </x:c>
      <x:c r="Z20" s="17" t="str">
        <x:v>Unknown</x:v>
      </x:c>
      <x:c r="AA20" s="17" t="str">
        <x:v>Unknown</x:v>
      </x:c>
      <x:c r="AB20" s="17" t="str">
        <x:v>Unknown</x:v>
      </x:c>
      <x:c r="AC20" s="17" t="str">
        <x:v>Investor biography identifies Blair as a previous Tailed co-founder.</x:v>
      </x:c>
      <x:c r="AD20" s="17" t="str">
        <x:v>https://antigravity.capital/portfolio/terac</x:v>
      </x:c>
      <x:c r="AE20" s="17" t="str">
        <x:v>Unknown</x:v>
      </x:c>
      <x:c r="AF20" s="17" t="str">
        <x:v>TJHSST founder directory</x:v>
      </x:c>
      <x:c r="AG20" s="17" t="str">
        <x:v>TJHSST Founders Initiative</x:v>
      </x:c>
      <x:c r="AH20" s="17" t="str">
        <x:v>https://www.tjhsst.network/alumni</x:v>
      </x:c>
      <x:c r="AI20" s="18" t="n">
        <x:v>3</x:v>
      </x:c>
      <x:c r="AJ20" s="17" t="str">
        <x:v>Unknown</x:v>
      </x:c>
      <x:c r="AK20" s="17" t="str">
        <x:v>University of Virginia</x:v>
      </x:c>
    </x:row>
    <x:row r="21" ht="44" customHeight="1">
      <x:c r="A21" s="17" t="str">
        <x:v>Riya Dev</x:v>
      </x:c>
      <x:c r="B21" s="17" t="str">
        <x:v>Riya</x:v>
      </x:c>
      <x:c r="C21" s="17" t="str">
        <x:v>Dev</x:v>
      </x:c>
      <x:c r="D21" s="18" t="str"/>
      <x:c r="E21" s="17" t="str">
        <x:v>Unknown</x:v>
      </x:c>
      <x:c r="F21" s="17" t="str">
        <x:v>TJHSST Founders Initiative identifies Dev as a TJ alumna; no graduation year was located.</x:v>
      </x:c>
      <x:c r="G21" s="17" t="str">
        <x:v>https://www.tjhsst.network/alumni</x:v>
      </x:c>
      <x:c r="H21" s="17" t="str">
        <x:v>Dezu</x:v>
      </x:c>
      <x:c r="I21" s="17" t="str">
        <x:v>https://dezu.com/</x:v>
      </x:c>
      <x:c r="J21" s="17" t="str">
        <x:v>Founder</x:v>
      </x:c>
      <x:c r="K21" s="17" t="n">
        <x:v>2024</x:v>
      </x:c>
      <x:c r="L21" s="17" t="str">
        <x:v>Closed</x:v>
      </x:c>
      <x:c r="M21" s="17" t="str">
        <x:v>Artificial Intelligence</x:v>
      </x:c>
      <x:c r="N21" s="17" t="str">
        <x:v>AI software</x:v>
      </x:c>
      <x:c r="O21" s="17" t="str">
        <x:v>AI startup backed by Telora that later ceased operating.</x:v>
      </x:c>
      <x:c r="P21" s="17" t="str">
        <x:v>Unknown</x:v>
      </x:c>
      <x:c r="Q21" s="17" t="str">
        <x:v>Yes</x:v>
      </x:c>
      <x:c r="R21" s="17" t="str">
        <x:v>Unknown</x:v>
      </x:c>
      <x:c r="S21" s="17" t="str">
        <x:v>Pre-seed</x:v>
      </x:c>
      <x:c r="T21" s="17" t="str">
        <x:v>Telora</x:v>
      </x:c>
      <x:c r="U21" s="17" t="str">
        <x:v>Telora</x:v>
      </x:c>
      <x:c r="V21" s="17" t="str">
        <x:v>Closed</x:v>
      </x:c>
      <x:c r="W21" s="17" t="str">
        <x:v>Unknown</x:v>
      </x:c>
      <x:c r="X21" s="17" t="n">
        <x:v>2025</x:v>
      </x:c>
      <x:c r="Y21" s="17" t="str">
        <x:v>Former founder</x:v>
      </x:c>
      <x:c r="Z21" s="17" t="str">
        <x:v>Unknown</x:v>
      </x:c>
      <x:c r="AA21" s="17" t="str">
        <x:v>Unknown</x:v>
      </x:c>
      <x:c r="AB21" s="17" t="str">
        <x:v>Unknown</x:v>
      </x:c>
      <x:c r="AC21" s="17" t="str">
        <x:v>Investor announcement identifies Dev as Dezu founder.</x:v>
      </x:c>
      <x:c r="AD21" s="17" t="str">
        <x:v>https://www.linkedin.com/posts/eliam_welcome-riya-dev-to-telora-activity-7289961564652994561-wR4o</x:v>
      </x:c>
      <x:c r="AE21" s="17" t="str">
        <x:v>Unknown</x:v>
      </x:c>
      <x:c r="AF21" s="17" t="str">
        <x:v>TJHSST founder directory</x:v>
      </x:c>
      <x:c r="AG21" s="17" t="str">
        <x:v>TJHSST Founders Initiative</x:v>
      </x:c>
      <x:c r="AH21" s="17" t="str">
        <x:v>https://www.tjhsst.network/alumni</x:v>
      </x:c>
      <x:c r="AI21" s="18" t="n">
        <x:v>4</x:v>
      </x:c>
      <x:c r="AJ21" s="17" t="str">
        <x:v>Unknown</x:v>
      </x:c>
      <x:c r="AK21" s="17" t="str">
        <x:v>University of Pennsylvania</x:v>
      </x:c>
    </x:row>
    <x:row r="22" ht="44" customHeight="1">
      <x:c r="A22" s="17" t="str">
        <x:v>Nathan Foss</x:v>
      </x:c>
      <x:c r="B22" s="17" t="str">
        <x:v>Nathan</x:v>
      </x:c>
      <x:c r="C22" s="17" t="str">
        <x:v>Foss</x:v>
      </x:c>
      <x:c r="D22" s="18" t="str">
        <x:v>2016</x:v>
      </x:c>
      <x:c r="E22" s="17" t="str">
        <x:v>Confirmed</x:v>
      </x:c>
      <x:c r="F22" s="17" t="str">
        <x:v>TJHSST Founders Initiative lists Foss as Class of 2016.</x:v>
      </x:c>
      <x:c r="G22" s="17" t="str">
        <x:v>https://www.tjhsst.network/alumni</x:v>
      </x:c>
      <x:c r="H22" s="17" t="str">
        <x:v>Gather</x:v>
      </x:c>
      <x:c r="I22" s="17" t="str">
        <x:v>https://www.gather.town/</x:v>
      </x:c>
      <x:c r="J22" s="17" t="str">
        <x:v>Co-founder</x:v>
      </x:c>
      <x:c r="K22" s="17" t="n">
        <x:v>2019</x:v>
      </x:c>
      <x:c r="L22" s="17" t="str">
        <x:v>Acquired</x:v>
      </x:c>
      <x:c r="M22" s="17" t="str">
        <x:v>Enterprise Software</x:v>
      </x:c>
      <x:c r="N22" s="17" t="str">
        <x:v>Virtual collaboration</x:v>
      </x:c>
      <x:c r="O22" s="17" t="str">
        <x:v>Virtual-office and event-space platform.</x:v>
      </x:c>
      <x:c r="P22" s="17" t="str">
        <x:v>San Francisco, CA</x:v>
      </x:c>
      <x:c r="Q22" s="17" t="str">
        <x:v>Yes</x:v>
      </x:c>
      <x:c r="R22" s="17" t="str">
        <x:v>Unknown</x:v>
      </x:c>
      <x:c r="S22" s="17" t="str">
        <x:v>Series B</x:v>
      </x:c>
      <x:c r="T22" s="17" t="str">
        <x:v>Sequoia Capital; Index Ventures; YC Continuity</x:v>
      </x:c>
      <x:c r="U22" s="17" t="str">
        <x:v>Y Combinator W18</x:v>
      </x:c>
      <x:c r="V22" s="17" t="str">
        <x:v>Acquired; terms undisclosed</x:v>
      </x:c>
      <x:c r="W22" s="17" t="str">
        <x:v>Unknown</x:v>
      </x:c>
      <x:c r="X22" s="17" t="n">
        <x:v>2026</x:v>
      </x:c>
      <x:c r="Y22" s="17" t="str">
        <x:v>Former founder</x:v>
      </x:c>
      <x:c r="Z22" s="17" t="str">
        <x:v>Unknown</x:v>
      </x:c>
      <x:c r="AA22" s="17" t="str">
        <x:v>Unknown</x:v>
      </x:c>
      <x:c r="AB22" s="17" t="str">
        <x:v>Unknown</x:v>
      </x:c>
      <x:c r="AC22" s="17" t="str">
        <x:v>Founder interview identifies Foss as a Gather co-founder.</x:v>
      </x:c>
      <x:c r="AD22" s="17" t="str">
        <x:v>https://yespress.io/gather</x:v>
      </x:c>
      <x:c r="AE22" s="17" t="str">
        <x:v>Unknown</x:v>
      </x:c>
      <x:c r="AF22" s="17" t="str">
        <x:v>TJHSST founder directory</x:v>
      </x:c>
      <x:c r="AG22" s="17" t="str">
        <x:v>TJHSST Founders Initiative</x:v>
      </x:c>
      <x:c r="AH22" s="17" t="str">
        <x:v>https://www.tjhsst.network/alumni</x:v>
      </x:c>
      <x:c r="AI22" s="18" t="n">
        <x:v>4</x:v>
      </x:c>
      <x:c r="AJ22" s="17" t="str">
        <x:v>Unknown</x:v>
      </x:c>
      <x:c r="AK22" s="17" t="str">
        <x:v>Virginia Tech</x:v>
      </x:c>
    </x:row>
    <x:row r="23" ht="44" customHeight="1">
      <x:c r="A23" s="17" t="str">
        <x:v>Arya Grayeli</x:v>
      </x:c>
      <x:c r="B23" s="17" t="str">
        <x:v>Arya</x:v>
      </x:c>
      <x:c r="C23" s="17" t="str">
        <x:v>Grayeli</x:v>
      </x:c>
      <x:c r="D23" s="18" t="str">
        <x:v>2022</x:v>
      </x:c>
      <x:c r="E23" s="17" t="str">
        <x:v>Confirmed</x:v>
      </x:c>
      <x:c r="F23" s="17" t="str">
        <x:v>TJHSST Founders Initiative lists Grayeli as Class of 2022.</x:v>
      </x:c>
      <x:c r="G23" s="17" t="str">
        <x:v>https://www.tjhsst.network/alumni</x:v>
      </x:c>
      <x:c r="H23" s="17" t="str">
        <x:v>Sapien</x:v>
      </x:c>
      <x:c r="I23" s="17" t="str">
        <x:v>https://www.sapien.io/</x:v>
      </x:c>
      <x:c r="J23" s="17" t="str">
        <x:v>Co-founder</x:v>
      </x:c>
      <x:c r="K23" s="17" t="n">
        <x:v>2024</x:v>
      </x:c>
      <x:c r="L23" s="17" t="str">
        <x:v>Active</x:v>
      </x:c>
      <x:c r="M23" s="17" t="str">
        <x:v>Artificial Intelligence</x:v>
      </x:c>
      <x:c r="N23" s="17" t="str">
        <x:v>AI data labeling</x:v>
      </x:c>
      <x:c r="O23" s="17" t="str">
        <x:v>Human-data infrastructure and labeling marketplace for AI models.</x:v>
      </x:c>
      <x:c r="P23" s="17" t="str">
        <x:v>San Francisco, CA</x:v>
      </x:c>
      <x:c r="Q23" s="17" t="str">
        <x:v>Yes</x:v>
      </x:c>
      <x:c r="R23" s="17" t="str">
        <x:v>At least $8.7M publicly announced; later 2026 round undisclosed</x:v>
      </x:c>
      <x:c r="S23" s="17" t="str">
        <x:v>2026 financing at reported $180M valuation</x:v>
      </x:c>
      <x:c r="T23" s="17" t="str">
        <x:v>General Catalyst; others</x:v>
      </x:c>
      <x:c r="U23" s="17" t="str">
        <x:v>Unknown</x:v>
      </x:c>
      <x:c r="V23" s="17" t="str">
        <x:v>None known</x:v>
      </x:c>
      <x:c r="W23" s="17" t="str">
        <x:v>Unknown</x:v>
      </x:c>
      <x:c r="X23" s="17" t="str">
        <x:v>Unknown</x:v>
      </x:c>
      <x:c r="Y23" s="17" t="str">
        <x:v>Unknown</x:v>
      </x:c>
      <x:c r="Z23" s="17" t="str">
        <x:v>Unknown</x:v>
      </x:c>
      <x:c r="AA23" s="17" t="str">
        <x:v>Unknown</x:v>
      </x:c>
      <x:c r="AB23" s="17" t="str">
        <x:v>Unknown</x:v>
      </x:c>
      <x:c r="AC23" s="17" t="str">
        <x:v>TJ founder profile and financing coverage identify Sapien’s co-founders.</x:v>
      </x:c>
      <x:c r="AD23" s="17" t="str">
        <x:v>https://www.tjhsst.network/companies/sapien</x:v>
      </x:c>
      <x:c r="AE23" s="17" t="str">
        <x:v>https://fortune.com/2026/09/08/sapien-ai-training-data-startup-funding-valuation/</x:v>
      </x:c>
      <x:c r="AF23" s="17" t="str">
        <x:v>TJHSST founder directory</x:v>
      </x:c>
      <x:c r="AG23" s="17" t="str">
        <x:v>TJHSST Founders Initiative</x:v>
      </x:c>
      <x:c r="AH23" s="17" t="str">
        <x:v>https://www.tjhsst.network/alumni</x:v>
      </x:c>
      <x:c r="AI23" s="18" t="n">
        <x:v>5</x:v>
      </x:c>
      <x:c r="AJ23" s="17" t="str">
        <x:v>Unknown</x:v>
      </x:c>
      <x:c r="AK23" s="17" t="str">
        <x:v>University of Virginia</x:v>
      </x:c>
    </x:row>
    <x:row r="24" ht="44" customHeight="1">
      <x:c r="A24" s="17" t="str">
        <x:v>Ron Nachum</x:v>
      </x:c>
      <x:c r="B24" s="17" t="str">
        <x:v>Ron</x:v>
      </x:c>
      <x:c r="C24" s="17" t="str">
        <x:v>Nachum</x:v>
      </x:c>
      <x:c r="D24" s="18" t="str">
        <x:v>2022</x:v>
      </x:c>
      <x:c r="E24" s="17" t="str">
        <x:v>Confirmed</x:v>
      </x:c>
      <x:c r="F24" s="17" t="str">
        <x:v>TJHSST Founders Initiative lists Nachum as Class of 2022.</x:v>
      </x:c>
      <x:c r="G24" s="17" t="str">
        <x:v>https://www.tjhsst.network/alumni</x:v>
      </x:c>
      <x:c r="H24" s="17" t="str">
        <x:v>Sapien</x:v>
      </x:c>
      <x:c r="I24" s="17" t="str">
        <x:v>https://www.sapien.io/</x:v>
      </x:c>
      <x:c r="J24" s="17" t="str">
        <x:v>Co-founder</x:v>
      </x:c>
      <x:c r="K24" s="17" t="n">
        <x:v>2024</x:v>
      </x:c>
      <x:c r="L24" s="17" t="str">
        <x:v>Active</x:v>
      </x:c>
      <x:c r="M24" s="17" t="str">
        <x:v>Artificial Intelligence</x:v>
      </x:c>
      <x:c r="N24" s="17" t="str">
        <x:v>AI data labeling</x:v>
      </x:c>
      <x:c r="O24" s="17" t="str">
        <x:v>Human-data infrastructure and labeling marketplace for AI models.</x:v>
      </x:c>
      <x:c r="P24" s="17" t="str">
        <x:v>San Francisco, CA</x:v>
      </x:c>
      <x:c r="Q24" s="17" t="str">
        <x:v>Yes</x:v>
      </x:c>
      <x:c r="R24" s="17" t="str">
        <x:v>At least $8.7M publicly announced; later 2026 round undisclosed</x:v>
      </x:c>
      <x:c r="S24" s="17" t="str">
        <x:v>2026 financing at reported $180M valuation</x:v>
      </x:c>
      <x:c r="T24" s="17" t="str">
        <x:v>General Catalyst; others</x:v>
      </x:c>
      <x:c r="U24" s="17" t="str">
        <x:v>Unknown</x:v>
      </x:c>
      <x:c r="V24" s="17" t="str">
        <x:v>None known</x:v>
      </x:c>
      <x:c r="W24" s="17" t="str">
        <x:v>Unknown</x:v>
      </x:c>
      <x:c r="X24" s="17" t="str">
        <x:v>Unknown</x:v>
      </x:c>
      <x:c r="Y24" s="17" t="str">
        <x:v>Unknown</x:v>
      </x:c>
      <x:c r="Z24" s="17" t="str">
        <x:v>Unknown</x:v>
      </x:c>
      <x:c r="AA24" s="17" t="str">
        <x:v>Unknown</x:v>
      </x:c>
      <x:c r="AB24" s="17" t="str">
        <x:v>Unknown</x:v>
      </x:c>
      <x:c r="AC24" s="17" t="str">
        <x:v>TJ founder profile and financing coverage identify Sapien’s co-founders.</x:v>
      </x:c>
      <x:c r="AD24" s="17" t="str">
        <x:v>https://www.tjhsst.network/companies/sapien</x:v>
      </x:c>
      <x:c r="AE24" s="17" t="str">
        <x:v>https://fortune.com/2026/09/08/sapien-ai-training-data-startup-funding-valuation/</x:v>
      </x:c>
      <x:c r="AF24" s="17" t="str">
        <x:v>TJHSST founder directory</x:v>
      </x:c>
      <x:c r="AG24" s="17" t="str">
        <x:v>TJHSST Founders Initiative</x:v>
      </x:c>
      <x:c r="AH24" s="17" t="str">
        <x:v>https://www.tjhsst.network/alumni</x:v>
      </x:c>
      <x:c r="AI24" s="18" t="n">
        <x:v>5</x:v>
      </x:c>
      <x:c r="AJ24" s="17" t="str">
        <x:v>Unknown</x:v>
      </x:c>
      <x:c r="AK24" s="17" t="str">
        <x:v>University of Virginia</x:v>
      </x:c>
    </x:row>
    <x:row r="25" ht="44" customHeight="1">
      <x:c r="A25" s="17" t="str">
        <x:v>Pranav Ravella</x:v>
      </x:c>
      <x:c r="B25" s="17" t="str">
        <x:v>Pranav</x:v>
      </x:c>
      <x:c r="C25" s="17" t="str">
        <x:v>Ravella</x:v>
      </x:c>
      <x:c r="D25" s="18" t="str">
        <x:v>2022</x:v>
      </x:c>
      <x:c r="E25" s="17" t="str">
        <x:v>Confirmed</x:v>
      </x:c>
      <x:c r="F25" s="17" t="str">
        <x:v>TJHSST Founders Initiative lists Ravella as Class of 2022.</x:v>
      </x:c>
      <x:c r="G25" s="17" t="str">
        <x:v>https://www.tjhsst.network/alumni</x:v>
      </x:c>
      <x:c r="H25" s="17" t="str">
        <x:v>Sapien</x:v>
      </x:c>
      <x:c r="I25" s="17" t="str">
        <x:v>https://www.sapien.io/</x:v>
      </x:c>
      <x:c r="J25" s="17" t="str">
        <x:v>Co-founder</x:v>
      </x:c>
      <x:c r="K25" s="17" t="n">
        <x:v>2024</x:v>
      </x:c>
      <x:c r="L25" s="17" t="str">
        <x:v>Active</x:v>
      </x:c>
      <x:c r="M25" s="17" t="str">
        <x:v>Artificial Intelligence</x:v>
      </x:c>
      <x:c r="N25" s="17" t="str">
        <x:v>AI data labeling</x:v>
      </x:c>
      <x:c r="O25" s="17" t="str">
        <x:v>Human-data infrastructure and labeling marketplace for AI models.</x:v>
      </x:c>
      <x:c r="P25" s="17" t="str">
        <x:v>San Francisco, CA</x:v>
      </x:c>
      <x:c r="Q25" s="17" t="str">
        <x:v>Yes</x:v>
      </x:c>
      <x:c r="R25" s="17" t="str">
        <x:v>At least $8.7M publicly announced; later 2026 round undisclosed</x:v>
      </x:c>
      <x:c r="S25" s="17" t="str">
        <x:v>2026 financing at reported $180M valuation</x:v>
      </x:c>
      <x:c r="T25" s="17" t="str">
        <x:v>General Catalyst; others</x:v>
      </x:c>
      <x:c r="U25" s="17" t="str">
        <x:v>Unknown</x:v>
      </x:c>
      <x:c r="V25" s="17" t="str">
        <x:v>None known</x:v>
      </x:c>
      <x:c r="W25" s="17" t="str">
        <x:v>Unknown</x:v>
      </x:c>
      <x:c r="X25" s="17" t="str">
        <x:v>Unknown</x:v>
      </x:c>
      <x:c r="Y25" s="17" t="str">
        <x:v>Unknown</x:v>
      </x:c>
      <x:c r="Z25" s="17" t="str">
        <x:v>Unknown</x:v>
      </x:c>
      <x:c r="AA25" s="17" t="str">
        <x:v>Unknown</x:v>
      </x:c>
      <x:c r="AB25" s="17" t="str">
        <x:v>Unknown</x:v>
      </x:c>
      <x:c r="AC25" s="17" t="str">
        <x:v>TJ founder profile and financing coverage identify Sapien’s co-founders.</x:v>
      </x:c>
      <x:c r="AD25" s="17" t="str">
        <x:v>https://www.tjhsst.network/companies/sapien</x:v>
      </x:c>
      <x:c r="AE25" s="17" t="str">
        <x:v>https://fortune.com/2026/09/08/sapien-ai-training-data-startup-funding-valuation/</x:v>
      </x:c>
      <x:c r="AF25" s="17" t="str">
        <x:v>TJHSST founder directory</x:v>
      </x:c>
      <x:c r="AG25" s="17" t="str">
        <x:v>TJHSST Founders Initiative</x:v>
      </x:c>
      <x:c r="AH25" s="17" t="str">
        <x:v>https://www.tjhsst.network/alumni</x:v>
      </x:c>
      <x:c r="AI25" s="18" t="n">
        <x:v>5</x:v>
      </x:c>
      <x:c r="AJ25" s="17" t="str">
        <x:v>Unknown</x:v>
      </x:c>
      <x:c r="AK25" s="17" t="str">
        <x:v>University of Virginia</x:v>
      </x:c>
    </x:row>
    <x:row r="26" ht="44" customHeight="1">
      <x:c r="A26" s="17" t="str">
        <x:v>Lydia Hylton</x:v>
      </x:c>
      <x:c r="B26" s="17" t="str">
        <x:v>Lydia</x:v>
      </x:c>
      <x:c r="C26" s="17" t="str">
        <x:v>Hylton</x:v>
      </x:c>
      <x:c r="D26" s="18" t="str">
        <x:v>2012</x:v>
      </x:c>
      <x:c r="E26" s="17" t="str">
        <x:v>Confirmed</x:v>
      </x:c>
      <x:c r="F26" s="17" t="str">
        <x:v>TJHSST Founders Initiative lists Hylton as Class of 2012.</x:v>
      </x:c>
      <x:c r="G26" s="17" t="str">
        <x:v>https://www.tjhsst.network/alumni</x:v>
      </x:c>
      <x:c r="H26" s="17" t="str">
        <x:v>Strella</x:v>
      </x:c>
      <x:c r="I26" s="17" t="str">
        <x:v>https://www.strellabiotech.com/</x:v>
      </x:c>
      <x:c r="J26" s="17" t="str">
        <x:v>Co-founder</x:v>
      </x:c>
      <x:c r="K26" s="17" t="n">
        <x:v>2017</x:v>
      </x:c>
      <x:c r="L26" s="17" t="str">
        <x:v>Active</x:v>
      </x:c>
      <x:c r="M26" s="17" t="str">
        <x:v>Agriculture</x:v>
      </x:c>
      <x:c r="N26" s="17" t="str">
        <x:v>Produce supply-chain sensors</x:v>
      </x:c>
      <x:c r="O26" s="17" t="str">
        <x:v>Shelf-life and freshness monitoring for the produce supply chain.</x:v>
      </x:c>
      <x:c r="P26" s="17" t="str">
        <x:v>Philadelphia, PA</x:v>
      </x:c>
      <x:c r="Q26" s="17" t="str">
        <x:v>Yes</x:v>
      </x:c>
      <x:c r="R26" s="17" t="str">
        <x:v>At least $14M publicly announced</x:v>
      </x:c>
      <x:c r="S26" s="17" t="str">
        <x:v>Series A ($14M)</x:v>
      </x:c>
      <x:c r="T26" s="17" t="str">
        <x:v>Bessemer Venture Partners; others</x:v>
      </x:c>
      <x:c r="U26" s="17" t="str">
        <x:v>Unknown</x:v>
      </x:c>
      <x:c r="V26" s="17" t="str">
        <x:v>None known</x:v>
      </x:c>
      <x:c r="W26" s="17" t="str">
        <x:v>Unknown</x:v>
      </x:c>
      <x:c r="X26" s="17" t="str">
        <x:v>Unknown</x:v>
      </x:c>
      <x:c r="Y26" s="17" t="str">
        <x:v>Unknown</x:v>
      </x:c>
      <x:c r="Z26" s="17" t="str">
        <x:v>Unknown</x:v>
      </x:c>
      <x:c r="AA26" s="17" t="str">
        <x:v>Unknown</x:v>
      </x:c>
      <x:c r="AB26" s="17" t="str">
        <x:v>Unknown</x:v>
      </x:c>
      <x:c r="AC26" s="17" t="str">
        <x:v>Bessemer’s founder profile identifies both founders.</x:v>
      </x:c>
      <x:c r="AD26" s="17" t="str">
        <x:v>https://www.bvp.com/news/meet-the-founders-of-strella-lydia-hylton-and-priya-krishnan</x:v>
      </x:c>
      <x:c r="AE26" s="17" t="str">
        <x:v>Unknown</x:v>
      </x:c>
      <x:c r="AF26" s="17" t="str">
        <x:v>TJHSST founder directory</x:v>
      </x:c>
      <x:c r="AG26" s="17" t="str">
        <x:v>TJHSST Founders Initiative</x:v>
      </x:c>
      <x:c r="AH26" s="17" t="str">
        <x:v>https://www.tjhsst.network/alumni</x:v>
      </x:c>
      <x:c r="AI26" s="18" t="n">
        <x:v>5</x:v>
      </x:c>
      <x:c r="AJ26" s="17" t="str">
        <x:v>Unknown</x:v>
      </x:c>
      <x:c r="AK26" s="17" t="str">
        <x:v>University of Pennsylvania</x:v>
      </x:c>
    </x:row>
    <x:row r="27" ht="44" customHeight="1">
      <x:c r="A27" s="17" t="str">
        <x:v>Priya Krishnan</x:v>
      </x:c>
      <x:c r="B27" s="17" t="str">
        <x:v>Priya</x:v>
      </x:c>
      <x:c r="C27" s="17" t="str">
        <x:v>Krishnan</x:v>
      </x:c>
      <x:c r="D27" s="18" t="str">
        <x:v>2012</x:v>
      </x:c>
      <x:c r="E27" s="17" t="str">
        <x:v>Confirmed</x:v>
      </x:c>
      <x:c r="F27" s="17" t="str">
        <x:v>TJHSST Founders Initiative lists Krishnan as Class of 2012.</x:v>
      </x:c>
      <x:c r="G27" s="17" t="str">
        <x:v>https://www.tjhsst.network/alumni</x:v>
      </x:c>
      <x:c r="H27" s="17" t="str">
        <x:v>Strella</x:v>
      </x:c>
      <x:c r="I27" s="17" t="str">
        <x:v>https://www.strellabiotech.com/</x:v>
      </x:c>
      <x:c r="J27" s="17" t="str">
        <x:v>Co-founder</x:v>
      </x:c>
      <x:c r="K27" s="17" t="n">
        <x:v>2017</x:v>
      </x:c>
      <x:c r="L27" s="17" t="str">
        <x:v>Active</x:v>
      </x:c>
      <x:c r="M27" s="17" t="str">
        <x:v>Agriculture</x:v>
      </x:c>
      <x:c r="N27" s="17" t="str">
        <x:v>Produce supply-chain sensors</x:v>
      </x:c>
      <x:c r="O27" s="17" t="str">
        <x:v>Shelf-life and freshness monitoring for the produce supply chain.</x:v>
      </x:c>
      <x:c r="P27" s="17" t="str">
        <x:v>Philadelphia, PA</x:v>
      </x:c>
      <x:c r="Q27" s="17" t="str">
        <x:v>Yes</x:v>
      </x:c>
      <x:c r="R27" s="17" t="str">
        <x:v>At least $14M publicly announced</x:v>
      </x:c>
      <x:c r="S27" s="17" t="str">
        <x:v>Series A ($14M)</x:v>
      </x:c>
      <x:c r="T27" s="17" t="str">
        <x:v>Bessemer Venture Partners; others</x:v>
      </x:c>
      <x:c r="U27" s="17" t="str">
        <x:v>Unknown</x:v>
      </x:c>
      <x:c r="V27" s="17" t="str">
        <x:v>None known</x:v>
      </x:c>
      <x:c r="W27" s="17" t="str">
        <x:v>Unknown</x:v>
      </x:c>
      <x:c r="X27" s="17" t="str">
        <x:v>Unknown</x:v>
      </x:c>
      <x:c r="Y27" s="17" t="str">
        <x:v>Unknown</x:v>
      </x:c>
      <x:c r="Z27" s="17" t="str">
        <x:v>Unknown</x:v>
      </x:c>
      <x:c r="AA27" s="17" t="str">
        <x:v>Unknown</x:v>
      </x:c>
      <x:c r="AB27" s="17" t="str">
        <x:v>Unknown</x:v>
      </x:c>
      <x:c r="AC27" s="17" t="str">
        <x:v>Bessemer’s founder profile identifies both founders.</x:v>
      </x:c>
      <x:c r="AD27" s="17" t="str">
        <x:v>https://www.bvp.com/news/meet-the-founders-of-strella-lydia-hylton-and-priya-krishnan</x:v>
      </x:c>
      <x:c r="AE27" s="17" t="str">
        <x:v>Unknown</x:v>
      </x:c>
      <x:c r="AF27" s="17" t="str">
        <x:v>TJHSST founder directory</x:v>
      </x:c>
      <x:c r="AG27" s="17" t="str">
        <x:v>TJHSST Founders Initiative</x:v>
      </x:c>
      <x:c r="AH27" s="17" t="str">
        <x:v>https://www.tjhsst.network/alumni</x:v>
      </x:c>
      <x:c r="AI27" s="18" t="n">
        <x:v>5</x:v>
      </x:c>
      <x:c r="AJ27" s="17" t="str">
        <x:v>Unknown</x:v>
      </x:c>
      <x:c r="AK27" s="17" t="str">
        <x:v>University of Pennsylvania</x:v>
      </x:c>
    </x:row>
    <x:row r="28" ht="44" customHeight="1">
      <x:c r="A28" s="17" t="str">
        <x:v>Howard Lerman</x:v>
      </x:c>
      <x:c r="B28" s="17" t="str">
        <x:v>Howard</x:v>
      </x:c>
      <x:c r="C28" s="17" t="str">
        <x:v>Lerman</x:v>
      </x:c>
      <x:c r="D28" s="18" t="str">
        <x:v>1998</x:v>
      </x:c>
      <x:c r="E28" s="17" t="str">
        <x:v>Confirmed</x:v>
      </x:c>
      <x:c r="F28" s="17" t="str">
        <x:v>Multiple sources identify Lerman as a 1998 TJHSST graduate.</x:v>
      </x:c>
      <x:c r="G28" s="17" t="str">
        <x:v>https://www.yext.com/blog/yext-unveils-major-washington-d-c-area-expansion-to-bring-500-jobs-to-the-region</x:v>
      </x:c>
      <x:c r="H28" s="17" t="str">
        <x:v>Roam</x:v>
      </x:c>
      <x:c r="I28" s="17" t="str">
        <x:v>https://ro.am/</x:v>
      </x:c>
      <x:c r="J28" s="17" t="str">
        <x:v>Co-founder and CEO</x:v>
      </x:c>
      <x:c r="K28" s="17" t="n">
        <x:v>2022</x:v>
      </x:c>
      <x:c r="L28" s="17" t="str">
        <x:v>Active</x:v>
      </x:c>
      <x:c r="M28" s="17" t="str">
        <x:v>Enterprise Software</x:v>
      </x:c>
      <x:c r="N28" s="17" t="str">
        <x:v>Cloud communications</x:v>
      </x:c>
      <x:c r="O28" s="17" t="str">
        <x:v>Cloud-based phone and communications system for distributed teams.</x:v>
      </x:c>
      <x:c r="P28" s="17" t="str">
        <x:v>New York, NY</x:v>
      </x:c>
      <x:c r="Q28" s="17" t="str">
        <x:v>Yes</x:v>
      </x:c>
      <x:c r="R28" s="17" t="str">
        <x:v>At least $40M publicly announced</x:v>
      </x:c>
      <x:c r="S28" s="17" t="str">
        <x:v>Venture round</x:v>
      </x:c>
      <x:c r="T28" s="17" t="str">
        <x:v>Founders Fund; others</x:v>
      </x:c>
      <x:c r="U28" s="17" t="str">
        <x:v>Unknown</x:v>
      </x:c>
      <x:c r="V28" s="17" t="str">
        <x:v>None known</x:v>
      </x:c>
      <x:c r="W28" s="17" t="str">
        <x:v>Unknown</x:v>
      </x:c>
      <x:c r="X28" s="17" t="str">
        <x:v>Unknown</x:v>
      </x:c>
      <x:c r="Y28" s="17" t="str">
        <x:v>Unknown</x:v>
      </x:c>
      <x:c r="Z28" s="17" t="str">
        <x:v>https://www.linkedin.com/in/howardlerman</x:v>
      </x:c>
      <x:c r="AA28" s="17" t="str">
        <x:v>Unknown</x:v>
      </x:c>
      <x:c r="AB28" s="17" t="str">
        <x:v>Unknown</x:v>
      </x:c>
      <x:c r="AC28" s="17" t="str">
        <x:v>Lerman’s launch post and TJ community coverage identify the Roam founding team.</x:v>
      </x:c>
      <x:c r="AD28" s="17" t="str">
        <x:v>https://www.linkedin.com/posts/howardlerman_im-jumping-back-in-the-arena-in-life-activity-6959932946824769536-i9uc</x:v>
      </x:c>
      <x:c r="AE28" s="17" t="str">
        <x:v>https://www.tjhsst.network/news/roam-raise-1</x:v>
      </x:c>
      <x:c r="AF28" s="17" t="str">
        <x:v>Named community-node search</x:v>
      </x:c>
      <x:c r="AG28" s="17" t="str">
        <x:v>Howard Lerman public activity</x:v>
      </x:c>
      <x:c r="AH28" s="17" t="str">
        <x:v>https://www.linkedin.com/posts/howardlerman_im-jumping-back-in-the-arena-in-life-activity-6959932946824769536-i9uc</x:v>
      </x:c>
      <x:c r="AI28" s="18" t="n">
        <x:v>5</x:v>
      </x:c>
      <x:c r="AJ28" s="17" t="str">
        <x:v>Unknown</x:v>
      </x:c>
      <x:c r="AK28" s="17" t="str">
        <x:v>Virginia Tech</x:v>
      </x:c>
    </x:row>
    <x:row r="29" ht="44" customHeight="1">
      <x:c r="A29" s="17" t="str">
        <x:v>Tom Dixon</x:v>
      </x:c>
      <x:c r="B29" s="17" t="str">
        <x:v>Tom</x:v>
      </x:c>
      <x:c r="C29" s="17" t="str">
        <x:v>Dixon</x:v>
      </x:c>
      <x:c r="D29" s="18" t="str">
        <x:v>1998</x:v>
      </x:c>
      <x:c r="E29" s="17" t="str">
        <x:v>Confirmed</x:v>
      </x:c>
      <x:c r="F29" s="17" t="str">
        <x:v>TJHSST systems-lab history places Dixon on the 1997–98 team and Yext identifies him as a TJ alumnus.</x:v>
      </x:c>
      <x:c r="G29" s="17" t="str">
        <x:v>https://activities.tjhsst.edu/sct/about</x:v>
      </x:c>
      <x:c r="H29" s="17" t="str">
        <x:v>Roam</x:v>
      </x:c>
      <x:c r="I29" s="17" t="str">
        <x:v>https://ro.am/</x:v>
      </x:c>
      <x:c r="J29" s="17" t="str">
        <x:v>Co-founder</x:v>
      </x:c>
      <x:c r="K29" s="17" t="n">
        <x:v>2022</x:v>
      </x:c>
      <x:c r="L29" s="17" t="str">
        <x:v>Active</x:v>
      </x:c>
      <x:c r="M29" s="17" t="str">
        <x:v>Enterprise Software</x:v>
      </x:c>
      <x:c r="N29" s="17" t="str">
        <x:v>Cloud communications</x:v>
      </x:c>
      <x:c r="O29" s="17" t="str">
        <x:v>Cloud-based phone and communications system for distributed teams.</x:v>
      </x:c>
      <x:c r="P29" s="17" t="str">
        <x:v>New York, NY</x:v>
      </x:c>
      <x:c r="Q29" s="17" t="str">
        <x:v>Yes</x:v>
      </x:c>
      <x:c r="R29" s="17" t="str">
        <x:v>At least $40M publicly announced</x:v>
      </x:c>
      <x:c r="S29" s="17" t="str">
        <x:v>Venture round</x:v>
      </x:c>
      <x:c r="T29" s="17" t="str">
        <x:v>Founders Fund; others</x:v>
      </x:c>
      <x:c r="U29" s="17" t="str">
        <x:v>Unknown</x:v>
      </x:c>
      <x:c r="V29" s="17" t="str">
        <x:v>None known</x:v>
      </x:c>
      <x:c r="W29" s="17" t="str">
        <x:v>Unknown</x:v>
      </x:c>
      <x:c r="X29" s="17" t="str">
        <x:v>Unknown</x:v>
      </x:c>
      <x:c r="Y29" s="17" t="str">
        <x:v>Unknown</x:v>
      </x:c>
      <x:c r="Z29" s="17" t="str">
        <x:v>Unknown</x:v>
      </x:c>
      <x:c r="AA29" s="17" t="str">
        <x:v>Unknown</x:v>
      </x:c>
      <x:c r="AB29" s="17" t="str">
        <x:v>Unknown</x:v>
      </x:c>
      <x:c r="AC29" s="17" t="str">
        <x:v>Lerman’s launch post and TJ community coverage identify the Roam founding team.</x:v>
      </x:c>
      <x:c r="AD29" s="17" t="str">
        <x:v>https://www.linkedin.com/posts/howardlerman_im-jumping-back-in-the-arena-in-life-activity-6959932946824769536-i9uc</x:v>
      </x:c>
      <x:c r="AE29" s="17" t="str">
        <x:v>https://www.tjhsst.network/news/roam-raise-1</x:v>
      </x:c>
      <x:c r="AF29" s="17" t="str">
        <x:v>Recursive founder-network expansion</x:v>
      </x:c>
      <x:c r="AG29" s="17" t="str">
        <x:v>Howard Lerman network expansion</x:v>
      </x:c>
      <x:c r="AH29" s="17" t="str">
        <x:v>https://www.forbesindia.com/article/cross-border/howard-lerman-shares-the-secrets-of-starting-up/36943/1</x:v>
      </x:c>
      <x:c r="AI29" s="18" t="n">
        <x:v>5</x:v>
      </x:c>
      <x:c r="AJ29" s="17" t="str">
        <x:v>Unknown</x:v>
      </x:c>
      <x:c r="AK29" s="17" t="str">
        <x:v>Virginia Tech</x:v>
      </x:c>
    </x:row>
    <x:row r="30" ht="44" customHeight="1">
      <x:c r="A30" s="17" t="str">
        <x:v>Sean MacIsaac</x:v>
      </x:c>
      <x:c r="B30" s="17" t="str">
        <x:v>Sean</x:v>
      </x:c>
      <x:c r="C30" s="17" t="str">
        <x:v>MacIsaac</x:v>
      </x:c>
      <x:c r="D30" s="18" t="str">
        <x:v>1998</x:v>
      </x:c>
      <x:c r="E30" s="17" t="str">
        <x:v>Confirmed</x:v>
      </x:c>
      <x:c r="F30" s="17" t="str">
        <x:v>TJHSST systems-lab history places MacIsaac on the 1997–98 team and Yext identifies him as a TJ alumnus.</x:v>
      </x:c>
      <x:c r="G30" s="17" t="str">
        <x:v>https://activities.tjhsst.edu/sct/about</x:v>
      </x:c>
      <x:c r="H30" s="17" t="str">
        <x:v>Roam</x:v>
      </x:c>
      <x:c r="I30" s="17" t="str">
        <x:v>https://ro.am/</x:v>
      </x:c>
      <x:c r="J30" s="17" t="str">
        <x:v>Co-founder</x:v>
      </x:c>
      <x:c r="K30" s="17" t="n">
        <x:v>2022</x:v>
      </x:c>
      <x:c r="L30" s="17" t="str">
        <x:v>Active</x:v>
      </x:c>
      <x:c r="M30" s="17" t="str">
        <x:v>Enterprise Software</x:v>
      </x:c>
      <x:c r="N30" s="17" t="str">
        <x:v>Cloud communications</x:v>
      </x:c>
      <x:c r="O30" s="17" t="str">
        <x:v>Cloud-based phone and communications system for distributed teams.</x:v>
      </x:c>
      <x:c r="P30" s="17" t="str">
        <x:v>New York, NY</x:v>
      </x:c>
      <x:c r="Q30" s="17" t="str">
        <x:v>Yes</x:v>
      </x:c>
      <x:c r="R30" s="17" t="str">
        <x:v>At least $40M publicly announced</x:v>
      </x:c>
      <x:c r="S30" s="17" t="str">
        <x:v>Venture round</x:v>
      </x:c>
      <x:c r="T30" s="17" t="str">
        <x:v>Founders Fund; others</x:v>
      </x:c>
      <x:c r="U30" s="17" t="str">
        <x:v>Unknown</x:v>
      </x:c>
      <x:c r="V30" s="17" t="str">
        <x:v>None known</x:v>
      </x:c>
      <x:c r="W30" s="17" t="str">
        <x:v>Unknown</x:v>
      </x:c>
      <x:c r="X30" s="17" t="str">
        <x:v>Unknown</x:v>
      </x:c>
      <x:c r="Y30" s="17" t="str">
        <x:v>Unknown</x:v>
      </x:c>
      <x:c r="Z30" s="17" t="str">
        <x:v>Unknown</x:v>
      </x:c>
      <x:c r="AA30" s="17" t="str">
        <x:v>Unknown</x:v>
      </x:c>
      <x:c r="AB30" s="17" t="str">
        <x:v>Unknown</x:v>
      </x:c>
      <x:c r="AC30" s="17" t="str">
        <x:v>Lerman’s launch post and TJ community coverage identify the Roam founding team.</x:v>
      </x:c>
      <x:c r="AD30" s="17" t="str">
        <x:v>https://www.linkedin.com/posts/howardlerman_im-jumping-back-in-the-arena-in-life-activity-6959932946824769536-i9uc</x:v>
      </x:c>
      <x:c r="AE30" s="17" t="str">
        <x:v>https://www.tjhsst.network/news/roam-raise-1</x:v>
      </x:c>
      <x:c r="AF30" s="17" t="str">
        <x:v>Recursive founder-network expansion</x:v>
      </x:c>
      <x:c r="AG30" s="17" t="str">
        <x:v>Howard Lerman network expansion</x:v>
      </x:c>
      <x:c r="AH30" s="17" t="str">
        <x:v>https://www.forbesindia.com/article/cross-border/howard-lerman-shares-the-secrets-of-starting-up/36943/1</x:v>
      </x:c>
      <x:c r="AI30" s="18" t="n">
        <x:v>5</x:v>
      </x:c>
      <x:c r="AJ30" s="17" t="str">
        <x:v>Unknown</x:v>
      </x:c>
      <x:c r="AK30" s="17" t="str">
        <x:v>Virginia Tech</x:v>
      </x:c>
    </x:row>
    <x:row r="31" ht="44" customHeight="1">
      <x:c r="A31" s="17" t="str">
        <x:v>Kevin Caffrey</x:v>
      </x:c>
      <x:c r="B31" s="17" t="str">
        <x:v>Kevin</x:v>
      </x:c>
      <x:c r="C31" s="17" t="str">
        <x:v>Caffrey</x:v>
      </x:c>
      <x:c r="D31" s="18" t="str">
        <x:v>2002</x:v>
      </x:c>
      <x:c r="E31" s="17" t="str">
        <x:v>Confirmed</x:v>
      </x:c>
      <x:c r="F31" s="17" t="str">
        <x:v>Yext identifies Caffrey as a 2002 TJHSST graduate.</x:v>
      </x:c>
      <x:c r="G31" s="17" t="str">
        <x:v>https://www.yext.com/blog/yext-unveils-major-washington-d-c-area-expansion-to-bring-500-jobs-to-the-region</x:v>
      </x:c>
      <x:c r="H31" s="17" t="str">
        <x:v>Roam</x:v>
      </x:c>
      <x:c r="I31" s="17" t="str">
        <x:v>https://ro.am/</x:v>
      </x:c>
      <x:c r="J31" s="17" t="str">
        <x:v>Co-founder</x:v>
      </x:c>
      <x:c r="K31" s="17" t="n">
        <x:v>2022</x:v>
      </x:c>
      <x:c r="L31" s="17" t="str">
        <x:v>Active</x:v>
      </x:c>
      <x:c r="M31" s="17" t="str">
        <x:v>Enterprise Software</x:v>
      </x:c>
      <x:c r="N31" s="17" t="str">
        <x:v>Cloud communications</x:v>
      </x:c>
      <x:c r="O31" s="17" t="str">
        <x:v>Cloud-based phone and communications system for distributed teams.</x:v>
      </x:c>
      <x:c r="P31" s="17" t="str">
        <x:v>New York, NY</x:v>
      </x:c>
      <x:c r="Q31" s="17" t="str">
        <x:v>Yes</x:v>
      </x:c>
      <x:c r="R31" s="17" t="str">
        <x:v>At least $40M publicly announced</x:v>
      </x:c>
      <x:c r="S31" s="17" t="str">
        <x:v>Venture round</x:v>
      </x:c>
      <x:c r="T31" s="17" t="str">
        <x:v>Founders Fund; others</x:v>
      </x:c>
      <x:c r="U31" s="17" t="str">
        <x:v>Unknown</x:v>
      </x:c>
      <x:c r="V31" s="17" t="str">
        <x:v>None known</x:v>
      </x:c>
      <x:c r="W31" s="17" t="str">
        <x:v>Unknown</x:v>
      </x:c>
      <x:c r="X31" s="17" t="str">
        <x:v>Unknown</x:v>
      </x:c>
      <x:c r="Y31" s="17" t="str">
        <x:v>Unknown</x:v>
      </x:c>
      <x:c r="Z31" s="17" t="str">
        <x:v>Unknown</x:v>
      </x:c>
      <x:c r="AA31" s="17" t="str">
        <x:v>Unknown</x:v>
      </x:c>
      <x:c r="AB31" s="17" t="str">
        <x:v>Unknown</x:v>
      </x:c>
      <x:c r="AC31" s="17" t="str">
        <x:v>Lerman’s launch post and TJ community coverage identify the Roam founding team.</x:v>
      </x:c>
      <x:c r="AD31" s="17" t="str">
        <x:v>https://www.linkedin.com/posts/howardlerman_im-jumping-back-in-the-arena-in-life-activity-6959932946824769536-i9uc</x:v>
      </x:c>
      <x:c r="AE31" s="17" t="str">
        <x:v>https://www.tjhsst.network/news/roam-raise-1</x:v>
      </x:c>
      <x:c r="AF31" s="17" t="str">
        <x:v>Recursive founder-network expansion</x:v>
      </x:c>
      <x:c r="AG31" s="17" t="str">
        <x:v>Howard Lerman network expansion</x:v>
      </x:c>
      <x:c r="AH31" s="17" t="str">
        <x:v>https://www.linkedin.com/posts/tjpartnershipfund_tjhsst-invention-alert-seven-tjhsst-alums-activity-7245465170574028800-9ir2</x:v>
      </x:c>
      <x:c r="AI31" s="18" t="n">
        <x:v>5</x:v>
      </x:c>
      <x:c r="AJ31" s="17" t="str">
        <x:v>Unknown</x:v>
      </x:c>
      <x:c r="AK31" s="17" t="str">
        <x:v>Virginia Tech</x:v>
      </x:c>
    </x:row>
    <x:row r="32" ht="44" customHeight="1">
      <x:c r="A32" s="17" t="str">
        <x:v>Howard Lerman</x:v>
      </x:c>
      <x:c r="B32" s="17" t="str">
        <x:v>Howard</x:v>
      </x:c>
      <x:c r="C32" s="17" t="str">
        <x:v>Lerman</x:v>
      </x:c>
      <x:c r="D32" s="18" t="str">
        <x:v>1998</x:v>
      </x:c>
      <x:c r="E32" s="17" t="str">
        <x:v>Confirmed</x:v>
      </x:c>
      <x:c r="F32" s="17" t="str">
        <x:v>Multiple sources identify Lerman as a 1998 TJHSST graduate.</x:v>
      </x:c>
      <x:c r="G32" s="17" t="str">
        <x:v>https://www.yext.com/blog/yext-unveils-major-washington-d-c-area-expansion-to-bring-500-jobs-to-the-region</x:v>
      </x:c>
      <x:c r="H32" s="17" t="str">
        <x:v>JustATip</x:v>
      </x:c>
      <x:c r="I32" s="17" t="str">
        <x:v>Unknown</x:v>
      </x:c>
      <x:c r="J32" s="17" t="str">
        <x:v>Co-founder</x:v>
      </x:c>
      <x:c r="K32" s="17" t="n">
        <x:v>1999</x:v>
      </x:c>
      <x:c r="L32" s="17" t="str">
        <x:v>Closed</x:v>
      </x:c>
      <x:c r="M32" s="17" t="str">
        <x:v>Consumer</x:v>
      </x:c>
      <x:c r="N32" s="17" t="str">
        <x:v>Internet tipping service</x:v>
      </x:c>
      <x:c r="O32" s="17" t="str">
        <x:v>Early web service founded by TJ classmates while in college.</x:v>
      </x:c>
      <x:c r="P32" s="17" t="str">
        <x:v>Blacksburg, VA</x:v>
      </x:c>
      <x:c r="Q32" s="17" t="str">
        <x:v>Bootstrapped</x:v>
      </x:c>
      <x:c r="R32" s="17" t="str">
        <x:v>Unknown</x:v>
      </x:c>
      <x:c r="S32" s="17" t="str">
        <x:v>Unknown</x:v>
      </x:c>
      <x:c r="T32" s="17" t="str">
        <x:v>Unknown</x:v>
      </x:c>
      <x:c r="U32" s="17" t="str">
        <x:v>None</x:v>
      </x:c>
      <x:c r="V32" s="17" t="str">
        <x:v>Closed</x:v>
      </x:c>
      <x:c r="W32" s="17" t="str">
        <x:v>Unknown</x:v>
      </x:c>
      <x:c r="X32" s="17" t="str">
        <x:v>Unknown</x:v>
      </x:c>
      <x:c r="Y32" s="17" t="str">
        <x:v>Former founder</x:v>
      </x:c>
      <x:c r="Z32" s="17" t="str">
        <x:v>https://www.linkedin.com/in/howardlerman</x:v>
      </x:c>
      <x:c r="AA32" s="17" t="str">
        <x:v>Unknown</x:v>
      </x:c>
      <x:c r="AB32" s="17" t="str">
        <x:v>Unknown</x:v>
      </x:c>
      <x:c r="AC32" s="17" t="str">
        <x:v>Founder interview identifies the three TJ classmates as founders.</x:v>
      </x:c>
      <x:c r="AD32" s="17" t="str">
        <x:v>https://www.forbesindia.com/article/cross-border/howard-lerman-shares-the-secrets-of-starting-up/36943/1</x:v>
      </x:c>
      <x:c r="AE32" s="17" t="str">
        <x:v>Unknown</x:v>
      </x:c>
      <x:c r="AF32" s="17" t="str">
        <x:v>Named community-node search</x:v>
      </x:c>
      <x:c r="AG32" s="17" t="str">
        <x:v>Howard Lerman public activity</x:v>
      </x:c>
      <x:c r="AH32" s="17" t="str">
        <x:v>https://www.linkedin.com/posts/howardlerman_im-jumping-back-in-the-arena-in-life-activity-6959932946824769536-i9uc</x:v>
      </x:c>
      <x:c r="AI32" s="18" t="n">
        <x:v>4</x:v>
      </x:c>
      <x:c r="AJ32" s="17" t="str">
        <x:v>Unknown</x:v>
      </x:c>
      <x:c r="AK32" s="17" t="str">
        <x:v>Virginia Tech</x:v>
      </x:c>
    </x:row>
    <x:row r="33" ht="44" customHeight="1">
      <x:c r="A33" s="17" t="str">
        <x:v>Tom Dixon</x:v>
      </x:c>
      <x:c r="B33" s="17" t="str">
        <x:v>Tom</x:v>
      </x:c>
      <x:c r="C33" s="17" t="str">
        <x:v>Dixon</x:v>
      </x:c>
      <x:c r="D33" s="18" t="str">
        <x:v>1998</x:v>
      </x:c>
      <x:c r="E33" s="17" t="str">
        <x:v>Confirmed</x:v>
      </x:c>
      <x:c r="F33" s="17" t="str">
        <x:v>TJHSST systems-lab history places Dixon on the 1997–98 team and Yext identifies him as a TJ alumnus.</x:v>
      </x:c>
      <x:c r="G33" s="17" t="str">
        <x:v>https://activities.tjhsst.edu/sct/about</x:v>
      </x:c>
      <x:c r="H33" s="17" t="str">
        <x:v>JustATip</x:v>
      </x:c>
      <x:c r="I33" s="17" t="str">
        <x:v>Unknown</x:v>
      </x:c>
      <x:c r="J33" s="17" t="str">
        <x:v>Co-founder</x:v>
      </x:c>
      <x:c r="K33" s="17" t="n">
        <x:v>1999</x:v>
      </x:c>
      <x:c r="L33" s="17" t="str">
        <x:v>Closed</x:v>
      </x:c>
      <x:c r="M33" s="17" t="str">
        <x:v>Consumer</x:v>
      </x:c>
      <x:c r="N33" s="17" t="str">
        <x:v>Internet tipping service</x:v>
      </x:c>
      <x:c r="O33" s="17" t="str">
        <x:v>Early web service founded by TJ classmates while in college.</x:v>
      </x:c>
      <x:c r="P33" s="17" t="str">
        <x:v>Blacksburg, VA</x:v>
      </x:c>
      <x:c r="Q33" s="17" t="str">
        <x:v>Bootstrapped</x:v>
      </x:c>
      <x:c r="R33" s="17" t="str">
        <x:v>Unknown</x:v>
      </x:c>
      <x:c r="S33" s="17" t="str">
        <x:v>Unknown</x:v>
      </x:c>
      <x:c r="T33" s="17" t="str">
        <x:v>Unknown</x:v>
      </x:c>
      <x:c r="U33" s="17" t="str">
        <x:v>None</x:v>
      </x:c>
      <x:c r="V33" s="17" t="str">
        <x:v>Closed</x:v>
      </x:c>
      <x:c r="W33" s="17" t="str">
        <x:v>Unknown</x:v>
      </x:c>
      <x:c r="X33" s="17" t="str">
        <x:v>Unknown</x:v>
      </x:c>
      <x:c r="Y33" s="17" t="str">
        <x:v>Former founder</x:v>
      </x:c>
      <x:c r="Z33" s="17" t="str">
        <x:v>Unknown</x:v>
      </x:c>
      <x:c r="AA33" s="17" t="str">
        <x:v>Unknown</x:v>
      </x:c>
      <x:c r="AB33" s="17" t="str">
        <x:v>Unknown</x:v>
      </x:c>
      <x:c r="AC33" s="17" t="str">
        <x:v>Founder interview identifies the three TJ classmates as founders.</x:v>
      </x:c>
      <x:c r="AD33" s="17" t="str">
        <x:v>https://www.forbesindia.com/article/cross-border/howard-lerman-shares-the-secrets-of-starting-up/36943/1</x:v>
      </x:c>
      <x:c r="AE33" s="17" t="str">
        <x:v>Unknown</x:v>
      </x:c>
      <x:c r="AF33" s="17" t="str">
        <x:v>Recursive founder-network expansion</x:v>
      </x:c>
      <x:c r="AG33" s="17" t="str">
        <x:v>Howard Lerman network expansion</x:v>
      </x:c>
      <x:c r="AH33" s="17" t="str">
        <x:v>https://www.forbesindia.com/article/cross-border/howard-lerman-shares-the-secrets-of-starting-up/36943/1</x:v>
      </x:c>
      <x:c r="AI33" s="18" t="n">
        <x:v>4</x:v>
      </x:c>
      <x:c r="AJ33" s="17" t="str">
        <x:v>Unknown</x:v>
      </x:c>
      <x:c r="AK33" s="17" t="str">
        <x:v>Virginia Tech</x:v>
      </x:c>
    </x:row>
    <x:row r="34" ht="44" customHeight="1">
      <x:c r="A34" s="17" t="str">
        <x:v>Sean MacIsaac</x:v>
      </x:c>
      <x:c r="B34" s="17" t="str">
        <x:v>Sean</x:v>
      </x:c>
      <x:c r="C34" s="17" t="str">
        <x:v>MacIsaac</x:v>
      </x:c>
      <x:c r="D34" s="18" t="str">
        <x:v>1998</x:v>
      </x:c>
      <x:c r="E34" s="17" t="str">
        <x:v>Confirmed</x:v>
      </x:c>
      <x:c r="F34" s="17" t="str">
        <x:v>TJHSST systems-lab history places MacIsaac on the 1997–98 team and Yext identifies him as a TJ alumnus.</x:v>
      </x:c>
      <x:c r="G34" s="17" t="str">
        <x:v>https://activities.tjhsst.edu/sct/about</x:v>
      </x:c>
      <x:c r="H34" s="17" t="str">
        <x:v>JustATip</x:v>
      </x:c>
      <x:c r="I34" s="17" t="str">
        <x:v>Unknown</x:v>
      </x:c>
      <x:c r="J34" s="17" t="str">
        <x:v>Co-founder</x:v>
      </x:c>
      <x:c r="K34" s="17" t="n">
        <x:v>1999</x:v>
      </x:c>
      <x:c r="L34" s="17" t="str">
        <x:v>Closed</x:v>
      </x:c>
      <x:c r="M34" s="17" t="str">
        <x:v>Consumer</x:v>
      </x:c>
      <x:c r="N34" s="17" t="str">
        <x:v>Internet tipping service</x:v>
      </x:c>
      <x:c r="O34" s="17" t="str">
        <x:v>Early web service founded by TJ classmates while in college.</x:v>
      </x:c>
      <x:c r="P34" s="17" t="str">
        <x:v>Blacksburg, VA</x:v>
      </x:c>
      <x:c r="Q34" s="17" t="str">
        <x:v>Bootstrapped</x:v>
      </x:c>
      <x:c r="R34" s="17" t="str">
        <x:v>Unknown</x:v>
      </x:c>
      <x:c r="S34" s="17" t="str">
        <x:v>Unknown</x:v>
      </x:c>
      <x:c r="T34" s="17" t="str">
        <x:v>Unknown</x:v>
      </x:c>
      <x:c r="U34" s="17" t="str">
        <x:v>None</x:v>
      </x:c>
      <x:c r="V34" s="17" t="str">
        <x:v>Closed</x:v>
      </x:c>
      <x:c r="W34" s="17" t="str">
        <x:v>Unknown</x:v>
      </x:c>
      <x:c r="X34" s="17" t="str">
        <x:v>Unknown</x:v>
      </x:c>
      <x:c r="Y34" s="17" t="str">
        <x:v>Former founder</x:v>
      </x:c>
      <x:c r="Z34" s="17" t="str">
        <x:v>Unknown</x:v>
      </x:c>
      <x:c r="AA34" s="17" t="str">
        <x:v>Unknown</x:v>
      </x:c>
      <x:c r="AB34" s="17" t="str">
        <x:v>Unknown</x:v>
      </x:c>
      <x:c r="AC34" s="17" t="str">
        <x:v>Founder interview identifies the three TJ classmates as founders.</x:v>
      </x:c>
      <x:c r="AD34" s="17" t="str">
        <x:v>https://www.forbesindia.com/article/cross-border/howard-lerman-shares-the-secrets-of-starting-up/36943/1</x:v>
      </x:c>
      <x:c r="AE34" s="17" t="str">
        <x:v>Unknown</x:v>
      </x:c>
      <x:c r="AF34" s="17" t="str">
        <x:v>Recursive founder-network expansion</x:v>
      </x:c>
      <x:c r="AG34" s="17" t="str">
        <x:v>Howard Lerman network expansion</x:v>
      </x:c>
      <x:c r="AH34" s="17" t="str">
        <x:v>https://www.forbesindia.com/article/cross-border/howard-lerman-shares-the-secrets-of-starting-up/36943/1</x:v>
      </x:c>
      <x:c r="AI34" s="18" t="n">
        <x:v>4</x:v>
      </x:c>
      <x:c r="AJ34" s="17" t="str">
        <x:v>Unknown</x:v>
      </x:c>
      <x:c r="AK34" s="17" t="str">
        <x:v>Virginia Tech</x:v>
      </x:c>
    </x:row>
    <x:row r="35" ht="44" customHeight="1">
      <x:c r="A35" s="17" t="str">
        <x:v>Howard Lerman</x:v>
      </x:c>
      <x:c r="B35" s="17" t="str">
        <x:v>Howard</x:v>
      </x:c>
      <x:c r="C35" s="17" t="str">
        <x:v>Lerman</x:v>
      </x:c>
      <x:c r="D35" s="18" t="str">
        <x:v>1998</x:v>
      </x:c>
      <x:c r="E35" s="17" t="str">
        <x:v>Confirmed</x:v>
      </x:c>
      <x:c r="F35" s="17" t="str">
        <x:v>Multiple sources identify Lerman as a 1998 TJHSST graduate.</x:v>
      </x:c>
      <x:c r="G35" s="17" t="str">
        <x:v>https://www.yext.com/blog/yext-unveils-major-washington-d-c-area-expansion-to-bring-500-jobs-to-the-region</x:v>
      </x:c>
      <x:c r="H35" s="17" t="str">
        <x:v>Intwine</x:v>
      </x:c>
      <x:c r="I35" s="17" t="str">
        <x:v>Unknown</x:v>
      </x:c>
      <x:c r="J35" s="17" t="str">
        <x:v>Co-founder</x:v>
      </x:c>
      <x:c r="K35" s="17" t="n">
        <x:v>2001</x:v>
      </x:c>
      <x:c r="L35" s="17" t="str">
        <x:v>Closed</x:v>
      </x:c>
      <x:c r="M35" s="17" t="str">
        <x:v>Enterprise Software</x:v>
      </x:c>
      <x:c r="N35" s="17" t="str">
        <x:v>Web services</x:v>
      </x:c>
      <x:c r="O35" s="17" t="str">
        <x:v>Early software venture created by the JustATip founding team.</x:v>
      </x:c>
      <x:c r="P35" s="17" t="str">
        <x:v>Virginia</x:v>
      </x:c>
      <x:c r="Q35" s="17" t="str">
        <x:v>Unknown</x:v>
      </x:c>
      <x:c r="R35" s="17" t="str">
        <x:v>Unknown</x:v>
      </x:c>
      <x:c r="S35" s="17" t="str">
        <x:v>Unknown</x:v>
      </x:c>
      <x:c r="T35" s="17" t="str">
        <x:v>Unknown</x:v>
      </x:c>
      <x:c r="U35" s="17" t="str">
        <x:v>None</x:v>
      </x:c>
      <x:c r="V35" s="17" t="str">
        <x:v>Closed</x:v>
      </x:c>
      <x:c r="W35" s="17" t="str">
        <x:v>Unknown</x:v>
      </x:c>
      <x:c r="X35" s="17" t="str">
        <x:v>Unknown</x:v>
      </x:c>
      <x:c r="Y35" s="17" t="str">
        <x:v>Former founder</x:v>
      </x:c>
      <x:c r="Z35" s="17" t="str">
        <x:v>https://www.linkedin.com/in/howardlerman</x:v>
      </x:c>
      <x:c r="AA35" s="17" t="str">
        <x:v>Unknown</x:v>
      </x:c>
      <x:c r="AB35" s="17" t="str">
        <x:v>Unknown</x:v>
      </x:c>
      <x:c r="AC35" s="17" t="str">
        <x:v>Founder interview identifies the team’s second venture.</x:v>
      </x:c>
      <x:c r="AD35" s="17" t="str">
        <x:v>https://www.forbesindia.com/article/cross-border/howard-lerman-shares-the-secrets-of-starting-up/36943/1</x:v>
      </x:c>
      <x:c r="AE35" s="17" t="str">
        <x:v>Unknown</x:v>
      </x:c>
      <x:c r="AF35" s="17" t="str">
        <x:v>Named community-node search</x:v>
      </x:c>
      <x:c r="AG35" s="17" t="str">
        <x:v>Howard Lerman public activity</x:v>
      </x:c>
      <x:c r="AH35" s="17" t="str">
        <x:v>https://www.linkedin.com/posts/howardlerman_im-jumping-back-in-the-arena-in-life-activity-6959932946824769536-i9uc</x:v>
      </x:c>
      <x:c r="AI35" s="18" t="n">
        <x:v>4</x:v>
      </x:c>
      <x:c r="AJ35" s="17" t="str">
        <x:v>Unknown</x:v>
      </x:c>
      <x:c r="AK35" s="17" t="str">
        <x:v>Virginia Tech</x:v>
      </x:c>
    </x:row>
    <x:row r="36" ht="44" customHeight="1">
      <x:c r="A36" s="17" t="str">
        <x:v>Tom Dixon</x:v>
      </x:c>
      <x:c r="B36" s="17" t="str">
        <x:v>Tom</x:v>
      </x:c>
      <x:c r="C36" s="17" t="str">
        <x:v>Dixon</x:v>
      </x:c>
      <x:c r="D36" s="18" t="str">
        <x:v>1998</x:v>
      </x:c>
      <x:c r="E36" s="17" t="str">
        <x:v>Confirmed</x:v>
      </x:c>
      <x:c r="F36" s="17" t="str">
        <x:v>TJHSST systems-lab history places Dixon on the 1997–98 team and Yext identifies him as a TJ alumnus.</x:v>
      </x:c>
      <x:c r="G36" s="17" t="str">
        <x:v>https://activities.tjhsst.edu/sct/about</x:v>
      </x:c>
      <x:c r="H36" s="17" t="str">
        <x:v>Intwine</x:v>
      </x:c>
      <x:c r="I36" s="17" t="str">
        <x:v>Unknown</x:v>
      </x:c>
      <x:c r="J36" s="17" t="str">
        <x:v>Co-founder</x:v>
      </x:c>
      <x:c r="K36" s="17" t="n">
        <x:v>2001</x:v>
      </x:c>
      <x:c r="L36" s="17" t="str">
        <x:v>Closed</x:v>
      </x:c>
      <x:c r="M36" s="17" t="str">
        <x:v>Enterprise Software</x:v>
      </x:c>
      <x:c r="N36" s="17" t="str">
        <x:v>Web services</x:v>
      </x:c>
      <x:c r="O36" s="17" t="str">
        <x:v>Early software venture created by the JustATip founding team.</x:v>
      </x:c>
      <x:c r="P36" s="17" t="str">
        <x:v>Virginia</x:v>
      </x:c>
      <x:c r="Q36" s="17" t="str">
        <x:v>Unknown</x:v>
      </x:c>
      <x:c r="R36" s="17" t="str">
        <x:v>Unknown</x:v>
      </x:c>
      <x:c r="S36" s="17" t="str">
        <x:v>Unknown</x:v>
      </x:c>
      <x:c r="T36" s="17" t="str">
        <x:v>Unknown</x:v>
      </x:c>
      <x:c r="U36" s="17" t="str">
        <x:v>None</x:v>
      </x:c>
      <x:c r="V36" s="17" t="str">
        <x:v>Closed</x:v>
      </x:c>
      <x:c r="W36" s="17" t="str">
        <x:v>Unknown</x:v>
      </x:c>
      <x:c r="X36" s="17" t="str">
        <x:v>Unknown</x:v>
      </x:c>
      <x:c r="Y36" s="17" t="str">
        <x:v>Former founder</x:v>
      </x:c>
      <x:c r="Z36" s="17" t="str">
        <x:v>Unknown</x:v>
      </x:c>
      <x:c r="AA36" s="17" t="str">
        <x:v>Unknown</x:v>
      </x:c>
      <x:c r="AB36" s="17" t="str">
        <x:v>Unknown</x:v>
      </x:c>
      <x:c r="AC36" s="17" t="str">
        <x:v>Founder interview identifies the team’s second venture.</x:v>
      </x:c>
      <x:c r="AD36" s="17" t="str">
        <x:v>https://www.forbesindia.com/article/cross-border/howard-lerman-shares-the-secrets-of-starting-up/36943/1</x:v>
      </x:c>
      <x:c r="AE36" s="17" t="str">
        <x:v>Unknown</x:v>
      </x:c>
      <x:c r="AF36" s="17" t="str">
        <x:v>Recursive founder-network expansion</x:v>
      </x:c>
      <x:c r="AG36" s="17" t="str">
        <x:v>Howard Lerman network expansion</x:v>
      </x:c>
      <x:c r="AH36" s="17" t="str">
        <x:v>https://www.forbesindia.com/article/cross-border/howard-lerman-shares-the-secrets-of-starting-up/36943/1</x:v>
      </x:c>
      <x:c r="AI36" s="18" t="n">
        <x:v>4</x:v>
      </x:c>
      <x:c r="AJ36" s="17" t="str">
        <x:v>Unknown</x:v>
      </x:c>
      <x:c r="AK36" s="17" t="str">
        <x:v>Virginia Tech</x:v>
      </x:c>
    </x:row>
    <x:row r="37" ht="44" customHeight="1">
      <x:c r="A37" s="17" t="str">
        <x:v>Sean MacIsaac</x:v>
      </x:c>
      <x:c r="B37" s="17" t="str">
        <x:v>Sean</x:v>
      </x:c>
      <x:c r="C37" s="17" t="str">
        <x:v>MacIsaac</x:v>
      </x:c>
      <x:c r="D37" s="18" t="str">
        <x:v>1998</x:v>
      </x:c>
      <x:c r="E37" s="17" t="str">
        <x:v>Confirmed</x:v>
      </x:c>
      <x:c r="F37" s="17" t="str">
        <x:v>TJHSST systems-lab history places MacIsaac on the 1997–98 team and Yext identifies him as a TJ alumnus.</x:v>
      </x:c>
      <x:c r="G37" s="17" t="str">
        <x:v>https://activities.tjhsst.edu/sct/about</x:v>
      </x:c>
      <x:c r="H37" s="17" t="str">
        <x:v>Intwine</x:v>
      </x:c>
      <x:c r="I37" s="17" t="str">
        <x:v>Unknown</x:v>
      </x:c>
      <x:c r="J37" s="17" t="str">
        <x:v>Co-founder</x:v>
      </x:c>
      <x:c r="K37" s="17" t="n">
        <x:v>2001</x:v>
      </x:c>
      <x:c r="L37" s="17" t="str">
        <x:v>Closed</x:v>
      </x:c>
      <x:c r="M37" s="17" t="str">
        <x:v>Enterprise Software</x:v>
      </x:c>
      <x:c r="N37" s="17" t="str">
        <x:v>Web services</x:v>
      </x:c>
      <x:c r="O37" s="17" t="str">
        <x:v>Early software venture created by the JustATip founding team.</x:v>
      </x:c>
      <x:c r="P37" s="17" t="str">
        <x:v>Virginia</x:v>
      </x:c>
      <x:c r="Q37" s="17" t="str">
        <x:v>Unknown</x:v>
      </x:c>
      <x:c r="R37" s="17" t="str">
        <x:v>Unknown</x:v>
      </x:c>
      <x:c r="S37" s="17" t="str">
        <x:v>Unknown</x:v>
      </x:c>
      <x:c r="T37" s="17" t="str">
        <x:v>Unknown</x:v>
      </x:c>
      <x:c r="U37" s="17" t="str">
        <x:v>None</x:v>
      </x:c>
      <x:c r="V37" s="17" t="str">
        <x:v>Closed</x:v>
      </x:c>
      <x:c r="W37" s="17" t="str">
        <x:v>Unknown</x:v>
      </x:c>
      <x:c r="X37" s="17" t="str">
        <x:v>Unknown</x:v>
      </x:c>
      <x:c r="Y37" s="17" t="str">
        <x:v>Former founder</x:v>
      </x:c>
      <x:c r="Z37" s="17" t="str">
        <x:v>Unknown</x:v>
      </x:c>
      <x:c r="AA37" s="17" t="str">
        <x:v>Unknown</x:v>
      </x:c>
      <x:c r="AB37" s="17" t="str">
        <x:v>Unknown</x:v>
      </x:c>
      <x:c r="AC37" s="17" t="str">
        <x:v>Founder interview identifies the team’s second venture.</x:v>
      </x:c>
      <x:c r="AD37" s="17" t="str">
        <x:v>https://www.forbesindia.com/article/cross-border/howard-lerman-shares-the-secrets-of-starting-up/36943/1</x:v>
      </x:c>
      <x:c r="AE37" s="17" t="str">
        <x:v>Unknown</x:v>
      </x:c>
      <x:c r="AF37" s="17" t="str">
        <x:v>Recursive founder-network expansion</x:v>
      </x:c>
      <x:c r="AG37" s="17" t="str">
        <x:v>Howard Lerman network expansion</x:v>
      </x:c>
      <x:c r="AH37" s="17" t="str">
        <x:v>https://www.forbesindia.com/article/cross-border/howard-lerman-shares-the-secrets-of-starting-up/36943/1</x:v>
      </x:c>
      <x:c r="AI37" s="18" t="n">
        <x:v>4</x:v>
      </x:c>
      <x:c r="AJ37" s="17" t="str">
        <x:v>Unknown</x:v>
      </x:c>
      <x:c r="AK37" s="17" t="str">
        <x:v>Virginia Tech</x:v>
      </x:c>
    </x:row>
    <x:row r="38" ht="44" customHeight="1">
      <x:c r="A38" s="17" t="str">
        <x:v>Howard Lerman</x:v>
      </x:c>
      <x:c r="B38" s="17" t="str">
        <x:v>Howard</x:v>
      </x:c>
      <x:c r="C38" s="17" t="str">
        <x:v>Lerman</x:v>
      </x:c>
      <x:c r="D38" s="18" t="str">
        <x:v>1998</x:v>
      </x:c>
      <x:c r="E38" s="17" t="str">
        <x:v>Confirmed</x:v>
      </x:c>
      <x:c r="F38" s="17" t="str">
        <x:v>Multiple sources identify Lerman as a 1998 TJHSST graduate.</x:v>
      </x:c>
      <x:c r="G38" s="17" t="str">
        <x:v>https://www.yext.com/blog/yext-unveils-major-washington-d-c-area-expansion-to-bring-500-jobs-to-the-region</x:v>
      </x:c>
      <x:c r="H38" s="17" t="str">
        <x:v>Yext</x:v>
      </x:c>
      <x:c r="I38" s="17" t="str">
        <x:v>https://www.yext.com/</x:v>
      </x:c>
      <x:c r="J38" s="17" t="str">
        <x:v>Co-founder</x:v>
      </x:c>
      <x:c r="K38" s="17" t="n">
        <x:v>2006</x:v>
      </x:c>
      <x:c r="L38" s="17" t="str">
        <x:v>Public</x:v>
      </x:c>
      <x:c r="M38" s="17" t="str">
        <x:v>Enterprise Software</x:v>
      </x:c>
      <x:c r="N38" s="17" t="str">
        <x:v>Digital presence and search</x:v>
      </x:c>
      <x:c r="O38" s="17" t="str">
        <x:v>Enterprise platform for managing digital knowledge, listings and search experiences.</x:v>
      </x:c>
      <x:c r="P38" s="17" t="str">
        <x:v>New York, NY</x:v>
      </x:c>
      <x:c r="Q38" s="17" t="str">
        <x:v>Yes</x:v>
      </x:c>
      <x:c r="R38" s="17" t="str">
        <x:v>Unknown</x:v>
      </x:c>
      <x:c r="S38" s="17" t="str">
        <x:v>IPO (2017)</x:v>
      </x:c>
      <x:c r="T38" s="17" t="str">
        <x:v>Sutter Hill Ventures; Insight Partners; others</x:v>
      </x:c>
      <x:c r="U38" s="17" t="str">
        <x:v>None</x:v>
      </x:c>
      <x:c r="V38" s="17" t="str">
        <x:v>Initial public offering</x:v>
      </x:c>
      <x:c r="W38" s="17" t="str">
        <x:v>NYSE: YEXT</x:v>
      </x:c>
      <x:c r="X38" s="17" t="n">
        <x:v>2017</x:v>
      </x:c>
      <x:c r="Y38" s="17" t="str">
        <x:v>Unknown</x:v>
      </x:c>
      <x:c r="Z38" s="17" t="str">
        <x:v>https://www.linkedin.com/in/howardlerman</x:v>
      </x:c>
      <x:c r="AA38" s="17" t="str">
        <x:v>Unknown</x:v>
      </x:c>
      <x:c r="AB38" s="17" t="str">
        <x:v>Unknown</x:v>
      </x:c>
      <x:c r="AC38" s="17" t="str">
        <x:v>Public-company filings and founder interviews identify the co-founders.</x:v>
      </x:c>
      <x:c r="AD38" s="17" t="str">
        <x:v>https://investors.yext.com/sec-filings/all-sec-filings/content/0001614178-21-000095/yext-20210709.htm</x:v>
      </x:c>
      <x:c r="AE38" s="17" t="str">
        <x:v>Unknown</x:v>
      </x:c>
      <x:c r="AF38" s="17" t="str">
        <x:v>Named community-node search</x:v>
      </x:c>
      <x:c r="AG38" s="17" t="str">
        <x:v>Howard Lerman public activity</x:v>
      </x:c>
      <x:c r="AH38" s="17" t="str">
        <x:v>https://www.linkedin.com/posts/howardlerman_im-jumping-back-in-the-arena-in-life-activity-6959932946824769536-i9uc</x:v>
      </x:c>
      <x:c r="AI38" s="18" t="n">
        <x:v>5</x:v>
      </x:c>
      <x:c r="AJ38" s="17" t="str">
        <x:v>Unknown</x:v>
      </x:c>
      <x:c r="AK38" s="17" t="str">
        <x:v>Virginia Tech</x:v>
      </x:c>
    </x:row>
    <x:row r="39" ht="44" customHeight="1">
      <x:c r="A39" s="17" t="str">
        <x:v>Brent Metz</x:v>
      </x:c>
      <x:c r="B39" s="17" t="str">
        <x:v>Brent</x:v>
      </x:c>
      <x:c r="C39" s="17" t="str">
        <x:v>Metz</x:v>
      </x:c>
      <x:c r="D39" s="18" t="str">
        <x:v>1996</x:v>
      </x:c>
      <x:c r="E39" s="17" t="str">
        <x:v>Strongly inferred</x:v>
      </x:c>
      <x:c r="F39" s="17" t="str">
        <x:v>TJHSST computer-systems history identifies Metz on the original 1995–96 Sysadmin team; the year is inferred from that school-year record.</x:v>
      </x:c>
      <x:c r="G39" s="17" t="str">
        <x:v>https://documentation.tjhsst.edu/general/history/fridge</x:v>
      </x:c>
      <x:c r="H39" s="17" t="str">
        <x:v>Yext</x:v>
      </x:c>
      <x:c r="I39" s="17" t="str">
        <x:v>https://www.yext.com/</x:v>
      </x:c>
      <x:c r="J39" s="17" t="str">
        <x:v>Co-founder</x:v>
      </x:c>
      <x:c r="K39" s="17" t="n">
        <x:v>2006</x:v>
      </x:c>
      <x:c r="L39" s="17" t="str">
        <x:v>Public</x:v>
      </x:c>
      <x:c r="M39" s="17" t="str">
        <x:v>Enterprise Software</x:v>
      </x:c>
      <x:c r="N39" s="17" t="str">
        <x:v>Digital presence and search</x:v>
      </x:c>
      <x:c r="O39" s="17" t="str">
        <x:v>Enterprise platform for managing digital knowledge, listings and search experiences.</x:v>
      </x:c>
      <x:c r="P39" s="17" t="str">
        <x:v>New York, NY</x:v>
      </x:c>
      <x:c r="Q39" s="17" t="str">
        <x:v>Yes</x:v>
      </x:c>
      <x:c r="R39" s="17" t="str">
        <x:v>Unknown</x:v>
      </x:c>
      <x:c r="S39" s="17" t="str">
        <x:v>IPO (2017)</x:v>
      </x:c>
      <x:c r="T39" s="17" t="str">
        <x:v>Sutter Hill Ventures; Insight Partners; others</x:v>
      </x:c>
      <x:c r="U39" s="17" t="str">
        <x:v>None</x:v>
      </x:c>
      <x:c r="V39" s="17" t="str">
        <x:v>Initial public offering</x:v>
      </x:c>
      <x:c r="W39" s="17" t="str">
        <x:v>NYSE: YEXT</x:v>
      </x:c>
      <x:c r="X39" s="17" t="n">
        <x:v>2017</x:v>
      </x:c>
      <x:c r="Y39" s="17" t="str">
        <x:v>Unknown</x:v>
      </x:c>
      <x:c r="Z39" s="17" t="str">
        <x:v>Unknown</x:v>
      </x:c>
      <x:c r="AA39" s="17" t="str">
        <x:v>Unknown</x:v>
      </x:c>
      <x:c r="AB39" s="17" t="str">
        <x:v>Unknown</x:v>
      </x:c>
      <x:c r="AC39" s="17" t="str">
        <x:v>Public-company filings and founder interviews identify the co-founders.</x:v>
      </x:c>
      <x:c r="AD39" s="17" t="str">
        <x:v>https://www.forbesindia.com/article/cross-border/howard-lerman-shares-the-secrets-of-starting-up/36943/1</x:v>
      </x:c>
      <x:c r="AE39" s="17" t="str">
        <x:v>Unknown</x:v>
      </x:c>
      <x:c r="AF39" s="17" t="str">
        <x:v>Recursive founder-network expansion</x:v>
      </x:c>
      <x:c r="AG39" s="17" t="str">
        <x:v>Howard Lerman network expansion</x:v>
      </x:c>
      <x:c r="AH39" s="17" t="str">
        <x:v>https://www.forbesindia.com/article/cross-border/howard-lerman-shares-the-secrets-of-starting-up/36943/1</x:v>
      </x:c>
      <x:c r="AI39" s="18" t="n">
        <x:v>5</x:v>
      </x:c>
      <x:c r="AJ39" s="17" t="str">
        <x:v>Unknown</x:v>
      </x:c>
      <x:c r="AK39" s="17" t="str">
        <x:v>Unknown</x:v>
      </x:c>
    </x:row>
    <x:row r="40" ht="44" customHeight="1">
      <x:c r="A40" s="17" t="str">
        <x:v>Howard Lerman</x:v>
      </x:c>
      <x:c r="B40" s="17" t="str">
        <x:v>Howard</x:v>
      </x:c>
      <x:c r="C40" s="17" t="str">
        <x:v>Lerman</x:v>
      </x:c>
      <x:c r="D40" s="18" t="str">
        <x:v>1998</x:v>
      </x:c>
      <x:c r="E40" s="17" t="str">
        <x:v>Confirmed</x:v>
      </x:c>
      <x:c r="F40" s="17" t="str">
        <x:v>Multiple sources identify Lerman as a 1998 TJHSST graduate.</x:v>
      </x:c>
      <x:c r="G40" s="17" t="str">
        <x:v>https://www.yext.com/blog/yext-unveils-major-washington-d-c-area-expansion-to-bring-500-jobs-to-the-region</x:v>
      </x:c>
      <x:c r="H40" s="17" t="str">
        <x:v>Confide</x:v>
      </x:c>
      <x:c r="I40" s="17" t="str">
        <x:v>https://getconfide.com/</x:v>
      </x:c>
      <x:c r="J40" s="17" t="str">
        <x:v>Co-founder</x:v>
      </x:c>
      <x:c r="K40" s="17" t="n">
        <x:v>2013</x:v>
      </x:c>
      <x:c r="L40" s="17" t="str">
        <x:v>Acquired</x:v>
      </x:c>
      <x:c r="M40" s="17" t="str">
        <x:v>Cybersecurity</x:v>
      </x:c>
      <x:c r="N40" s="17" t="str">
        <x:v>Encrypted messaging</x:v>
      </x:c>
      <x:c r="O40" s="17" t="str">
        <x:v>Ephemeral encrypted messaging application.</x:v>
      </x:c>
      <x:c r="P40" s="17" t="str">
        <x:v>New York, NY</x:v>
      </x:c>
      <x:c r="Q40" s="17" t="str">
        <x:v>Yes</x:v>
      </x:c>
      <x:c r="R40" s="17" t="str">
        <x:v>Unknown</x:v>
      </x:c>
      <x:c r="S40" s="17" t="str">
        <x:v>Venture financing</x:v>
      </x:c>
      <x:c r="T40" s="17" t="str">
        <x:v>GV; First Round Capital; WGI Group; others</x:v>
      </x:c>
      <x:c r="U40" s="17" t="str">
        <x:v>None</x:v>
      </x:c>
      <x:c r="V40" s="17" t="str">
        <x:v>Acquired</x:v>
      </x:c>
      <x:c r="W40" s="17" t="str">
        <x:v>Aurea Software</x:v>
      </x:c>
      <x:c r="X40" s="17" t="n">
        <x:v>2021</x:v>
      </x:c>
      <x:c r="Y40" s="17" t="str">
        <x:v>Former founder</x:v>
      </x:c>
      <x:c r="Z40" s="17" t="str">
        <x:v>https://www.linkedin.com/in/howardlerman</x:v>
      </x:c>
      <x:c r="AA40" s="17" t="str">
        <x:v>Unknown</x:v>
      </x:c>
      <x:c r="AB40" s="17" t="str">
        <x:v>Unknown</x:v>
      </x:c>
      <x:c r="AC40" s="17" t="str">
        <x:v>Yext public-company proxy identifies Lerman as a Confide co-founder.</x:v>
      </x:c>
      <x:c r="AD40" s="17" t="str">
        <x:v>https://investors.yext.com/sec-filings/all-sec-filings/content/0001614178-21-000095/yext-20210709.htm</x:v>
      </x:c>
      <x:c r="AE40" s="17" t="str">
        <x:v>Unknown</x:v>
      </x:c>
      <x:c r="AF40" s="17" t="str">
        <x:v>Named community-node search</x:v>
      </x:c>
      <x:c r="AG40" s="17" t="str">
        <x:v>Howard Lerman public activity</x:v>
      </x:c>
      <x:c r="AH40" s="17" t="str">
        <x:v>https://www.linkedin.com/posts/howardlerman_im-jumping-back-in-the-arena-in-life-activity-6959932946824769536-i9uc</x:v>
      </x:c>
      <x:c r="AI40" s="18" t="n">
        <x:v>5</x:v>
      </x:c>
      <x:c r="AJ40" s="17" t="str">
        <x:v>Unknown</x:v>
      </x:c>
      <x:c r="AK40" s="17" t="str">
        <x:v>Virginia Tech</x:v>
      </x:c>
    </x:row>
    <x:row r="41" ht="44" customHeight="1">
      <x:c r="A41" s="17" t="str">
        <x:v>Jeffery Liu</x:v>
      </x:c>
      <x:c r="B41" s="17" t="str">
        <x:v>Jeffery</x:v>
      </x:c>
      <x:c r="C41" s="17" t="str">
        <x:v>Liu</x:v>
      </x:c>
      <x:c r="D41" s="18" t="str"/>
      <x:c r="E41" s="17" t="str">
        <x:v>Unknown</x:v>
      </x:c>
      <x:c r="F41" s="17" t="str">
        <x:v>TJHSST Founders Initiative identifies Liu as a TJ alumnus; no graduation year was located.</x:v>
      </x:c>
      <x:c r="G41" s="17" t="str">
        <x:v>https://www.tjhsst.network/alumni</x:v>
      </x:c>
      <x:c r="H41" s="17" t="str">
        <x:v>Assort Health</x:v>
      </x:c>
      <x:c r="I41" s="17" t="str">
        <x:v>https://www.assorthealth.com/</x:v>
      </x:c>
      <x:c r="J41" s="17" t="str">
        <x:v>Co-founder and CEO</x:v>
      </x:c>
      <x:c r="K41" s="17" t="n">
        <x:v>2023</x:v>
      </x:c>
      <x:c r="L41" s="17" t="str">
        <x:v>Active</x:v>
      </x:c>
      <x:c r="M41" s="17" t="str">
        <x:v>Healthcare</x:v>
      </x:c>
      <x:c r="N41" s="17" t="str">
        <x:v>AI patient scheduling</x:v>
      </x:c>
      <x:c r="O41" s="17" t="str">
        <x:v>AI voice and scheduling infrastructure for specialty healthcare practices.</x:v>
      </x:c>
      <x:c r="P41" s="17" t="str">
        <x:v>San Francisco, CA</x:v>
      </x:c>
      <x:c r="Q41" s="17" t="str">
        <x:v>Yes</x:v>
      </x:c>
      <x:c r="R41" s="17" t="str">
        <x:v>$222M publicly reported</x:v>
      </x:c>
      <x:c r="S41" s="17" t="str">
        <x:v>Series C ($120M, 2026)</x:v>
      </x:c>
      <x:c r="T41" s="17" t="str">
        <x:v>Greenfield Partners; First Round; Chemistry; Quiet Capital; others</x:v>
      </x:c>
      <x:c r="U41" s="17" t="str">
        <x:v>Unknown</x:v>
      </x:c>
      <x:c r="V41" s="17" t="str">
        <x:v>None known</x:v>
      </x:c>
      <x:c r="W41" s="17" t="str">
        <x:v>Unknown</x:v>
      </x:c>
      <x:c r="X41" s="17" t="str">
        <x:v>Unknown</x:v>
      </x:c>
      <x:c r="Y41" s="17" t="str">
        <x:v>Unknown</x:v>
      </x:c>
      <x:c r="Z41" s="17" t="str">
        <x:v>Unknown</x:v>
      </x:c>
      <x:c r="AA41" s="17" t="str">
        <x:v>Unknown</x:v>
      </x:c>
      <x:c r="AB41" s="17" t="str">
        <x:v>Unknown</x:v>
      </x:c>
      <x:c r="AC41" s="17" t="str">
        <x:v>Company and reputable financing profiles identify Liu as co-founder/CEO.</x:v>
      </x:c>
      <x:c r="AD41" s="17" t="str">
        <x:v>https://www.forbes.com/profile/assort-health/</x:v>
      </x:c>
      <x:c r="AE41" s="17" t="str">
        <x:v>https://www.greenfield-growth.com/knowledge/disruptors60-assort-health-interview/</x:v>
      </x:c>
      <x:c r="AF41" s="17" t="str">
        <x:v>TJHSST founder directory</x:v>
      </x:c>
      <x:c r="AG41" s="17" t="str">
        <x:v>TJHSST Founders Initiative</x:v>
      </x:c>
      <x:c r="AH41" s="17" t="str">
        <x:v>https://www.tjhsst.network/alumni</x:v>
      </x:c>
      <x:c r="AI41" s="18" t="n">
        <x:v>4</x:v>
      </x:c>
      <x:c r="AJ41" s="17" t="str">
        <x:v>Unknown</x:v>
      </x:c>
      <x:c r="AK41" s="17" t="str">
        <x:v>Harvard University</x:v>
      </x:c>
    </x:row>
    <x:row r="42" ht="44" customHeight="1">
      <x:c r="A42" s="17" t="str">
        <x:v>Brendan McCord</x:v>
      </x:c>
      <x:c r="B42" s="17" t="str">
        <x:v>Brendan</x:v>
      </x:c>
      <x:c r="C42" s="17" t="str">
        <x:v>McCord</x:v>
      </x:c>
      <x:c r="D42" s="18" t="str"/>
      <x:c r="E42" s="17" t="str">
        <x:v>Unknown</x:v>
      </x:c>
      <x:c r="F42" s="17" t="str">
        <x:v>TJHSST Founders Initiative identifies McCord as a TJ alumnus; no graduation year was located.</x:v>
      </x:c>
      <x:c r="G42" s="17" t="str">
        <x:v>https://www.tjhsst.network/alumni</x:v>
      </x:c>
      <x:c r="H42" s="17" t="str">
        <x:v>Cosmos Institute</x:v>
      </x:c>
      <x:c r="I42" s="17" t="str">
        <x:v>https://www.cosmos-institute.org/</x:v>
      </x:c>
      <x:c r="J42" s="17" t="str">
        <x:v>Founder and chair</x:v>
      </x:c>
      <x:c r="K42" s="17" t="n">
        <x:v>2024</x:v>
      </x:c>
      <x:c r="L42" s="17" t="str">
        <x:v>Active</x:v>
      </x:c>
      <x:c r="M42" s="17" t="str">
        <x:v>Nonprofit</x:v>
      </x:c>
      <x:c r="N42" s="17" t="str">
        <x:v>AI philosophy and governance</x:v>
      </x:c>
      <x:c r="O42" s="17" t="str">
        <x:v>Research and fellowship organization focused on human flourishing in an AI age.</x:v>
      </x:c>
      <x:c r="P42" s="17" t="str">
        <x:v>San Francisco, CA</x:v>
      </x:c>
      <x:c r="Q42" s="17" t="str">
        <x:v>No</x:v>
      </x:c>
      <x:c r="R42" s="17" t="str">
        <x:v>Unknown</x:v>
      </x:c>
      <x:c r="S42" s="17" t="str">
        <x:v>Philanthropic funding</x:v>
      </x:c>
      <x:c r="T42" s="17" t="str">
        <x:v>Unknown</x:v>
      </x:c>
      <x:c r="U42" s="17" t="str">
        <x:v>None</x:v>
      </x:c>
      <x:c r="V42" s="17" t="str">
        <x:v>None known</x:v>
      </x:c>
      <x:c r="W42" s="17" t="str">
        <x:v>Unknown</x:v>
      </x:c>
      <x:c r="X42" s="17" t="str">
        <x:v>Unknown</x:v>
      </x:c>
      <x:c r="Y42" s="17" t="str">
        <x:v>Unknown</x:v>
      </x:c>
      <x:c r="Z42" s="17" t="str">
        <x:v>Unknown</x:v>
      </x:c>
      <x:c r="AA42" s="17" t="str">
        <x:v>Unknown</x:v>
      </x:c>
      <x:c r="AB42" s="17" t="str">
        <x:v>Unknown</x:v>
      </x:c>
      <x:c r="AC42" s="17" t="str">
        <x:v>TJ founder company profile identifies McCord as founder.</x:v>
      </x:c>
      <x:c r="AD42" s="17" t="str">
        <x:v>https://www.tjhsst.network/companies/cosmos-institute</x:v>
      </x:c>
      <x:c r="AE42" s="17" t="str">
        <x:v>Unknown</x:v>
      </x:c>
      <x:c r="AF42" s="17" t="str">
        <x:v>TJHSST founder directory</x:v>
      </x:c>
      <x:c r="AG42" s="17" t="str">
        <x:v>TJHSST Founders Initiative</x:v>
      </x:c>
      <x:c r="AH42" s="17" t="str">
        <x:v>https://www.tjhsst.network/alumni</x:v>
      </x:c>
      <x:c r="AI42" s="18" t="n">
        <x:v>3</x:v>
      </x:c>
      <x:c r="AJ42" s="17" t="str">
        <x:v>Unknown</x:v>
      </x:c>
      <x:c r="AK42" s="17" t="str">
        <x:v>MIT</x:v>
      </x:c>
    </x:row>
    <x:row r="43" ht="44" customHeight="1">
      <x:c r="A43" s="17" t="str">
        <x:v>Kathryn Minshew</x:v>
      </x:c>
      <x:c r="B43" s="17" t="str">
        <x:v>Kathryn</x:v>
      </x:c>
      <x:c r="C43" s="17" t="str">
        <x:v>Minshew</x:v>
      </x:c>
      <x:c r="D43" s="18" t="str"/>
      <x:c r="E43" s="17" t="str">
        <x:v>Unknown</x:v>
      </x:c>
      <x:c r="F43" s="17" t="str">
        <x:v>TJHSST Founders Initiative identifies Minshew as a TJ alumna; no graduation year was located.</x:v>
      </x:c>
      <x:c r="G43" s="17" t="str">
        <x:v>https://www.tjhsst.network/alumni</x:v>
      </x:c>
      <x:c r="H43" s="17" t="str">
        <x:v>The Muse</x:v>
      </x:c>
      <x:c r="I43" s="17" t="str">
        <x:v>https://www.themuse.com/</x:v>
      </x:c>
      <x:c r="J43" s="17" t="str">
        <x:v>Co-founder and CEO</x:v>
      </x:c>
      <x:c r="K43" s="17" t="n">
        <x:v>2011</x:v>
      </x:c>
      <x:c r="L43" s="17" t="str">
        <x:v>Active</x:v>
      </x:c>
      <x:c r="M43" s="17" t="str">
        <x:v>Marketplace</x:v>
      </x:c>
      <x:c r="N43" s="17" t="str">
        <x:v>Career platform</x:v>
      </x:c>
      <x:c r="O43" s="17" t="str">
        <x:v>Career discovery and recruiting platform with company profiles and job listings.</x:v>
      </x:c>
      <x:c r="P43" s="17" t="str">
        <x:v>New York, NY</x:v>
      </x:c>
      <x:c r="Q43" s="17" t="str">
        <x:v>Yes</x:v>
      </x:c>
      <x:c r="R43" s="17" t="str">
        <x:v>Unknown</x:v>
      </x:c>
      <x:c r="S43" s="17" t="str">
        <x:v>Venture financing</x:v>
      </x:c>
      <x:c r="T43" s="17" t="str">
        <x:v>Icon Ventures; Aspect Ventures; QED Investors; others</x:v>
      </x:c>
      <x:c r="U43" s="17" t="str">
        <x:v>Y Combinator W12</x:v>
      </x:c>
      <x:c r="V43" s="17" t="str">
        <x:v>None known</x:v>
      </x:c>
      <x:c r="W43" s="17" t="str">
        <x:v>Unknown</x:v>
      </x:c>
      <x:c r="X43" s="17" t="str">
        <x:v>Unknown</x:v>
      </x:c>
      <x:c r="Y43" s="17" t="str">
        <x:v>Unknown</x:v>
      </x:c>
      <x:c r="Z43" s="17" t="str">
        <x:v>Unknown</x:v>
      </x:c>
      <x:c r="AA43" s="17" t="str">
        <x:v>Unknown</x:v>
      </x:c>
      <x:c r="AB43" s="17" t="str">
        <x:v>Unknown</x:v>
      </x:c>
      <x:c r="AC43" s="17" t="str">
        <x:v>The Muse’s official author biography identifies Minshew as co-founder/CEO.</x:v>
      </x:c>
      <x:c r="AD43" s="17" t="str">
        <x:v>https://www.themuse.com/author/kathryn-minshew</x:v>
      </x:c>
      <x:c r="AE43" s="17" t="str">
        <x:v>Unknown</x:v>
      </x:c>
      <x:c r="AF43" s="17" t="str">
        <x:v>TJHSST founder directory</x:v>
      </x:c>
      <x:c r="AG43" s="17" t="str">
        <x:v>TJHSST Founders Initiative</x:v>
      </x:c>
      <x:c r="AH43" s="17" t="str">
        <x:v>https://www.tjhsst.network/alumni</x:v>
      </x:c>
      <x:c r="AI43" s="18" t="n">
        <x:v>5</x:v>
      </x:c>
      <x:c r="AJ43" s="17" t="str">
        <x:v>Unknown</x:v>
      </x:c>
      <x:c r="AK43" s="17" t="str">
        <x:v>Duke University</x:v>
      </x:c>
    </x:row>
    <x:row r="44" ht="44" customHeight="1">
      <x:c r="A44" s="17" t="str">
        <x:v>Kathryn Minshew</x:v>
      </x:c>
      <x:c r="B44" s="17" t="str">
        <x:v>Kathryn</x:v>
      </x:c>
      <x:c r="C44" s="17" t="str">
        <x:v>Minshew</x:v>
      </x:c>
      <x:c r="D44" s="18" t="str"/>
      <x:c r="E44" s="17" t="str">
        <x:v>Unknown</x:v>
      </x:c>
      <x:c r="F44" s="17" t="str">
        <x:v>TJHSST Founders Initiative identifies Minshew as a TJ alumna; no graduation year was located.</x:v>
      </x:c>
      <x:c r="G44" s="17" t="str">
        <x:v>https://www.tjhsst.network/alumni</x:v>
      </x:c>
      <x:c r="H44" s="17" t="str">
        <x:v>Pretty Young Professionals</x:v>
      </x:c>
      <x:c r="I44" s="17" t="str">
        <x:v>Unknown</x:v>
      </x:c>
      <x:c r="J44" s="17" t="str">
        <x:v>Co-founder</x:v>
      </x:c>
      <x:c r="K44" s="17" t="n">
        <x:v>2010</x:v>
      </x:c>
      <x:c r="L44" s="17" t="str">
        <x:v>Closed</x:v>
      </x:c>
      <x:c r="M44" s="17" t="str">
        <x:v>Media</x:v>
      </x:c>
      <x:c r="N44" s="17" t="str">
        <x:v>Professional community</x:v>
      </x:c>
      <x:c r="O44" s="17" t="str">
        <x:v>Career community and website that preceded The Muse.</x:v>
      </x:c>
      <x:c r="P44" s="17" t="str">
        <x:v>New York, NY</x:v>
      </x:c>
      <x:c r="Q44" s="17" t="str">
        <x:v>Bootstrapped</x:v>
      </x:c>
      <x:c r="R44" s="17" t="str">
        <x:v>Unknown</x:v>
      </x:c>
      <x:c r="S44" s="17" t="str">
        <x:v>Unknown</x:v>
      </x:c>
      <x:c r="T44" s="17" t="str">
        <x:v>Unknown</x:v>
      </x:c>
      <x:c r="U44" s="17" t="str">
        <x:v>None</x:v>
      </x:c>
      <x:c r="V44" s="17" t="str">
        <x:v>Closed after founder dispute</x:v>
      </x:c>
      <x:c r="W44" s="17" t="str">
        <x:v>Unknown</x:v>
      </x:c>
      <x:c r="X44" s="17" t="n">
        <x:v>2011</x:v>
      </x:c>
      <x:c r="Y44" s="17" t="str">
        <x:v>Former founder</x:v>
      </x:c>
      <x:c r="Z44" s="17" t="str">
        <x:v>Unknown</x:v>
      </x:c>
      <x:c r="AA44" s="17" t="str">
        <x:v>Unknown</x:v>
      </x:c>
      <x:c r="AB44" s="17" t="str">
        <x:v>Unknown</x:v>
      </x:c>
      <x:c r="AC44" s="17" t="str">
        <x:v>Public biographies identify Minshew as a PYP co-founder.</x:v>
      </x:c>
      <x:c r="AD44" s="17" t="str">
        <x:v>https://en.wikipedia.org/wiki/Kathryn_Minshew</x:v>
      </x:c>
      <x:c r="AE44" s="17" t="str">
        <x:v>Unknown</x:v>
      </x:c>
      <x:c r="AF44" s="17" t="str">
        <x:v>TJHSST founder directory</x:v>
      </x:c>
      <x:c r="AG44" s="17" t="str">
        <x:v>TJHSST Founders Initiative</x:v>
      </x:c>
      <x:c r="AH44" s="17" t="str">
        <x:v>https://www.tjhsst.network/alumni</x:v>
      </x:c>
      <x:c r="AI44" s="18" t="n">
        <x:v>3</x:v>
      </x:c>
      <x:c r="AJ44" s="17" t="str">
        <x:v>Unknown</x:v>
      </x:c>
      <x:c r="AK44" s="17" t="str">
        <x:v>Duke University</x:v>
      </x:c>
    </x:row>
    <x:row r="45" ht="44" customHeight="1">
      <x:c r="A45" s="17" t="str">
        <x:v>Rohan Kalahasty</x:v>
      </x:c>
      <x:c r="B45" s="17" t="str">
        <x:v>Rohan</x:v>
      </x:c>
      <x:c r="C45" s="17" t="str">
        <x:v>Kalahasty</x:v>
      </x:c>
      <x:c r="D45" s="18" t="str"/>
      <x:c r="E45" s="17" t="str">
        <x:v>Unknown</x:v>
      </x:c>
      <x:c r="F45" s="17" t="str">
        <x:v>TJHSST Founders Initiative identifies Kalahasty as a TJ alumnus; no graduation year was located.</x:v>
      </x:c>
      <x:c r="G45" s="17" t="str">
        <x:v>https://www.tjhsst.network/alumni</x:v>
      </x:c>
      <x:c r="H45" s="17" t="str">
        <x:v>Forge (formerly Applied37/a37)</x:v>
      </x:c>
      <x:c r="I45" s="17" t="str">
        <x:v>https://www.forge.ai/</x:v>
      </x:c>
      <x:c r="J45" s="17" t="str">
        <x:v>Co-founder</x:v>
      </x:c>
      <x:c r="K45" s="17" t="n">
        <x:v>2025</x:v>
      </x:c>
      <x:c r="L45" s="17" t="str">
        <x:v>Active</x:v>
      </x:c>
      <x:c r="M45" s="17" t="str">
        <x:v>Artificial Intelligence</x:v>
      </x:c>
      <x:c r="N45" s="17" t="str">
        <x:v>AI software engineering</x:v>
      </x:c>
      <x:c r="O45" s="17" t="str">
        <x:v>AI-native company that rebranded from Applied37/a37 to Forge.</x:v>
      </x:c>
      <x:c r="P45" s="17" t="str">
        <x:v>San Francisco, CA</x:v>
      </x:c>
      <x:c r="Q45" s="17" t="str">
        <x:v>Yes</x:v>
      </x:c>
      <x:c r="R45" s="17" t="str">
        <x:v>Undisclosed seed round</x:v>
      </x:c>
      <x:c r="S45" s="17" t="str">
        <x:v>Seed</x:v>
      </x:c>
      <x:c r="T45" s="17" t="str">
        <x:v>Unknown</x:v>
      </x:c>
      <x:c r="U45" s="17" t="str">
        <x:v>Unknown</x:v>
      </x:c>
      <x:c r="V45" s="17" t="str">
        <x:v>None known</x:v>
      </x:c>
      <x:c r="W45" s="17" t="str">
        <x:v>Unknown</x:v>
      </x:c>
      <x:c r="X45" s="17" t="str">
        <x:v>Unknown</x:v>
      </x:c>
      <x:c r="Y45" s="17" t="str">
        <x:v>Unknown</x:v>
      </x:c>
      <x:c r="Z45" s="17" t="str">
        <x:v>Unknown</x:v>
      </x:c>
      <x:c r="AA45" s="17" t="str">
        <x:v>https://rohankalahasty.com/</x:v>
      </x:c>
      <x:c r="AB45" s="17" t="str">
        <x:v>Unknown</x:v>
      </x:c>
      <x:c r="AC45" s="17" t="str">
        <x:v>TJ founder company profile identifies the four founders; Kalahasty’s essay confirms the venture and seed financing.</x:v>
      </x:c>
      <x:c r="AD45" s="17" t="str">
        <x:v>https://www.tjhsst.network/companies/applied37</x:v>
      </x:c>
      <x:c r="AE45" s="17" t="str">
        <x:v>https://rohankalahasty.com/essays/raising</x:v>
      </x:c>
      <x:c r="AF45" s="17" t="str">
        <x:v>TJHSST founder directory</x:v>
      </x:c>
      <x:c r="AG45" s="17" t="str">
        <x:v>TJHSST Founders Initiative</x:v>
      </x:c>
      <x:c r="AH45" s="17" t="str">
        <x:v>https://www.tjhsst.network/alumni</x:v>
      </x:c>
      <x:c r="AI45" s="18" t="n">
        <x:v>4</x:v>
      </x:c>
      <x:c r="AJ45" s="17" t="str">
        <x:v>Unknown</x:v>
      </x:c>
      <x:c r="AK45" s="17" t="str">
        <x:v>Unknown</x:v>
      </x:c>
    </x:row>
    <x:row r="46" ht="44" customHeight="1">
      <x:c r="A46" s="17" t="str">
        <x:v>Sritan Motati</x:v>
      </x:c>
      <x:c r="B46" s="17" t="str">
        <x:v>Sritan</x:v>
      </x:c>
      <x:c r="C46" s="17" t="str">
        <x:v>Motati</x:v>
      </x:c>
      <x:c r="D46" s="18" t="str"/>
      <x:c r="E46" s="17" t="str">
        <x:v>Unknown</x:v>
      </x:c>
      <x:c r="F46" s="17" t="str">
        <x:v>TJHSST Founders Initiative identifies Motati as a TJ alumnus; no graduation year was located.</x:v>
      </x:c>
      <x:c r="G46" s="17" t="str">
        <x:v>https://www.tjhsst.network/alumni</x:v>
      </x:c>
      <x:c r="H46" s="17" t="str">
        <x:v>Forge (formerly Applied37/a37)</x:v>
      </x:c>
      <x:c r="I46" s="17" t="str">
        <x:v>https://www.forge.ai/</x:v>
      </x:c>
      <x:c r="J46" s="17" t="str">
        <x:v>Co-founder</x:v>
      </x:c>
      <x:c r="K46" s="17" t="n">
        <x:v>2025</x:v>
      </x:c>
      <x:c r="L46" s="17" t="str">
        <x:v>Active</x:v>
      </x:c>
      <x:c r="M46" s="17" t="str">
        <x:v>Artificial Intelligence</x:v>
      </x:c>
      <x:c r="N46" s="17" t="str">
        <x:v>AI software engineering</x:v>
      </x:c>
      <x:c r="O46" s="17" t="str">
        <x:v>AI-native company that rebranded from Applied37/a37 to Forge.</x:v>
      </x:c>
      <x:c r="P46" s="17" t="str">
        <x:v>San Francisco, CA</x:v>
      </x:c>
      <x:c r="Q46" s="17" t="str">
        <x:v>Yes</x:v>
      </x:c>
      <x:c r="R46" s="17" t="str">
        <x:v>Undisclosed seed round</x:v>
      </x:c>
      <x:c r="S46" s="17" t="str">
        <x:v>Seed</x:v>
      </x:c>
      <x:c r="T46" s="17" t="str">
        <x:v>Unknown</x:v>
      </x:c>
      <x:c r="U46" s="17" t="str">
        <x:v>Unknown</x:v>
      </x:c>
      <x:c r="V46" s="17" t="str">
        <x:v>None known</x:v>
      </x:c>
      <x:c r="W46" s="17" t="str">
        <x:v>Unknown</x:v>
      </x:c>
      <x:c r="X46" s="17" t="str">
        <x:v>Unknown</x:v>
      </x:c>
      <x:c r="Y46" s="17" t="str">
        <x:v>Unknown</x:v>
      </x:c>
      <x:c r="Z46" s="17" t="str">
        <x:v>Unknown</x:v>
      </x:c>
      <x:c r="AA46" s="17" t="str">
        <x:v>Unknown</x:v>
      </x:c>
      <x:c r="AB46" s="17" t="str">
        <x:v>Unknown</x:v>
      </x:c>
      <x:c r="AC46" s="17" t="str">
        <x:v>TJ founder company profile identifies the four founders; Kalahasty’s essay confirms the venture and seed financing.</x:v>
      </x:c>
      <x:c r="AD46" s="17" t="str">
        <x:v>https://www.tjhsst.network/companies/applied37</x:v>
      </x:c>
      <x:c r="AE46" s="17" t="str">
        <x:v>https://rohankalahasty.com/essays/raising</x:v>
      </x:c>
      <x:c r="AF46" s="17" t="str">
        <x:v>TJHSST founder directory</x:v>
      </x:c>
      <x:c r="AG46" s="17" t="str">
        <x:v>TJHSST Founders Initiative</x:v>
      </x:c>
      <x:c r="AH46" s="17" t="str">
        <x:v>https://www.tjhsst.network/alumni</x:v>
      </x:c>
      <x:c r="AI46" s="18" t="n">
        <x:v>4</x:v>
      </x:c>
      <x:c r="AJ46" s="17" t="str">
        <x:v>Unknown</x:v>
      </x:c>
      <x:c r="AK46" s="17" t="str">
        <x:v>Unknown</x:v>
      </x:c>
    </x:row>
    <x:row r="47" ht="44" customHeight="1">
      <x:c r="A47" s="17" t="str">
        <x:v>Tahsin Zaman</x:v>
      </x:c>
      <x:c r="B47" s="17" t="str">
        <x:v>Tahsin</x:v>
      </x:c>
      <x:c r="C47" s="17" t="str">
        <x:v>Zaman</x:v>
      </x:c>
      <x:c r="D47" s="18" t="str"/>
      <x:c r="E47" s="17" t="str">
        <x:v>Unknown</x:v>
      </x:c>
      <x:c r="F47" s="17" t="str">
        <x:v>TJHSST Founders Initiative identifies Zaman as a TJ alumnus; no graduation year was located.</x:v>
      </x:c>
      <x:c r="G47" s="17" t="str">
        <x:v>https://www.tjhsst.network/alumni</x:v>
      </x:c>
      <x:c r="H47" s="17" t="str">
        <x:v>Forge (formerly Applied37/a37)</x:v>
      </x:c>
      <x:c r="I47" s="17" t="str">
        <x:v>https://www.forge.ai/</x:v>
      </x:c>
      <x:c r="J47" s="17" t="str">
        <x:v>Co-founder</x:v>
      </x:c>
      <x:c r="K47" s="17" t="n">
        <x:v>2025</x:v>
      </x:c>
      <x:c r="L47" s="17" t="str">
        <x:v>Active</x:v>
      </x:c>
      <x:c r="M47" s="17" t="str">
        <x:v>Artificial Intelligence</x:v>
      </x:c>
      <x:c r="N47" s="17" t="str">
        <x:v>AI software engineering</x:v>
      </x:c>
      <x:c r="O47" s="17" t="str">
        <x:v>AI-native company that rebranded from Applied37/a37 to Forge.</x:v>
      </x:c>
      <x:c r="P47" s="17" t="str">
        <x:v>San Francisco, CA</x:v>
      </x:c>
      <x:c r="Q47" s="17" t="str">
        <x:v>Yes</x:v>
      </x:c>
      <x:c r="R47" s="17" t="str">
        <x:v>Undisclosed seed round</x:v>
      </x:c>
      <x:c r="S47" s="17" t="str">
        <x:v>Seed</x:v>
      </x:c>
      <x:c r="T47" s="17" t="str">
        <x:v>Unknown</x:v>
      </x:c>
      <x:c r="U47" s="17" t="str">
        <x:v>Unknown</x:v>
      </x:c>
      <x:c r="V47" s="17" t="str">
        <x:v>None known</x:v>
      </x:c>
      <x:c r="W47" s="17" t="str">
        <x:v>Unknown</x:v>
      </x:c>
      <x:c r="X47" s="17" t="str">
        <x:v>Unknown</x:v>
      </x:c>
      <x:c r="Y47" s="17" t="str">
        <x:v>Unknown</x:v>
      </x:c>
      <x:c r="Z47" s="17" t="str">
        <x:v>Unknown</x:v>
      </x:c>
      <x:c r="AA47" s="17" t="str">
        <x:v>Unknown</x:v>
      </x:c>
      <x:c r="AB47" s="17" t="str">
        <x:v>Unknown</x:v>
      </x:c>
      <x:c r="AC47" s="17" t="str">
        <x:v>TJ founder company profile identifies the four founders; Kalahasty’s essay confirms the venture and seed financing.</x:v>
      </x:c>
      <x:c r="AD47" s="17" t="str">
        <x:v>https://www.tjhsst.network/companies/applied37</x:v>
      </x:c>
      <x:c r="AE47" s="17" t="str">
        <x:v>https://rohankalahasty.com/essays/raising</x:v>
      </x:c>
      <x:c r="AF47" s="17" t="str">
        <x:v>TJHSST founder directory</x:v>
      </x:c>
      <x:c r="AG47" s="17" t="str">
        <x:v>TJHSST Founders Initiative</x:v>
      </x:c>
      <x:c r="AH47" s="17" t="str">
        <x:v>https://www.tjhsst.network/alumni</x:v>
      </x:c>
      <x:c r="AI47" s="18" t="n">
        <x:v>4</x:v>
      </x:c>
      <x:c r="AJ47" s="17" t="str">
        <x:v>Unknown</x:v>
      </x:c>
      <x:c r="AK47" s="17" t="str">
        <x:v>Unknown</x:v>
      </x:c>
    </x:row>
    <x:row r="48" ht="44" customHeight="1">
      <x:c r="A48" s="17" t="str">
        <x:v>Brian Zhou</x:v>
      </x:c>
      <x:c r="B48" s="17" t="str">
        <x:v>Brian</x:v>
      </x:c>
      <x:c r="C48" s="17" t="str">
        <x:v>Zhou</x:v>
      </x:c>
      <x:c r="D48" s="18" t="str"/>
      <x:c r="E48" s="17" t="str">
        <x:v>Unknown</x:v>
      </x:c>
      <x:c r="F48" s="17" t="str">
        <x:v>TJHSST Founders Initiative identifies Zhou as a TJ alumnus; no graduation year was located.</x:v>
      </x:c>
      <x:c r="G48" s="17" t="str">
        <x:v>https://www.tjhsst.network/alumni</x:v>
      </x:c>
      <x:c r="H48" s="17" t="str">
        <x:v>Forge (formerly Applied37/a37)</x:v>
      </x:c>
      <x:c r="I48" s="17" t="str">
        <x:v>https://www.forge.ai/</x:v>
      </x:c>
      <x:c r="J48" s="17" t="str">
        <x:v>Co-founder</x:v>
      </x:c>
      <x:c r="K48" s="17" t="n">
        <x:v>2025</x:v>
      </x:c>
      <x:c r="L48" s="17" t="str">
        <x:v>Active</x:v>
      </x:c>
      <x:c r="M48" s="17" t="str">
        <x:v>Artificial Intelligence</x:v>
      </x:c>
      <x:c r="N48" s="17" t="str">
        <x:v>AI software engineering</x:v>
      </x:c>
      <x:c r="O48" s="17" t="str">
        <x:v>AI-native company that rebranded from Applied37/a37 to Forge.</x:v>
      </x:c>
      <x:c r="P48" s="17" t="str">
        <x:v>San Francisco, CA</x:v>
      </x:c>
      <x:c r="Q48" s="17" t="str">
        <x:v>Yes</x:v>
      </x:c>
      <x:c r="R48" s="17" t="str">
        <x:v>Undisclosed seed round</x:v>
      </x:c>
      <x:c r="S48" s="17" t="str">
        <x:v>Seed</x:v>
      </x:c>
      <x:c r="T48" s="17" t="str">
        <x:v>Unknown</x:v>
      </x:c>
      <x:c r="U48" s="17" t="str">
        <x:v>Unknown</x:v>
      </x:c>
      <x:c r="V48" s="17" t="str">
        <x:v>None known</x:v>
      </x:c>
      <x:c r="W48" s="17" t="str">
        <x:v>Unknown</x:v>
      </x:c>
      <x:c r="X48" s="17" t="str">
        <x:v>Unknown</x:v>
      </x:c>
      <x:c r="Y48" s="17" t="str">
        <x:v>Unknown</x:v>
      </x:c>
      <x:c r="Z48" s="17" t="str">
        <x:v>Unknown</x:v>
      </x:c>
      <x:c r="AA48" s="17" t="str">
        <x:v>Unknown</x:v>
      </x:c>
      <x:c r="AB48" s="17" t="str">
        <x:v>Unknown</x:v>
      </x:c>
      <x:c r="AC48" s="17" t="str">
        <x:v>TJ founder company profile identifies the four founders; Kalahasty’s essay confirms the venture and seed financing.</x:v>
      </x:c>
      <x:c r="AD48" s="17" t="str">
        <x:v>https://www.tjhsst.network/companies/applied37</x:v>
      </x:c>
      <x:c r="AE48" s="17" t="str">
        <x:v>https://rohankalahasty.com/essays/raising</x:v>
      </x:c>
      <x:c r="AF48" s="17" t="str">
        <x:v>TJHSST founder directory</x:v>
      </x:c>
      <x:c r="AG48" s="17" t="str">
        <x:v>TJHSST Founders Initiative</x:v>
      </x:c>
      <x:c r="AH48" s="17" t="str">
        <x:v>https://www.tjhsst.network/alumni</x:v>
      </x:c>
      <x:c r="AI48" s="18" t="n">
        <x:v>4</x:v>
      </x:c>
      <x:c r="AJ48" s="17" t="str">
        <x:v>Unknown</x:v>
      </x:c>
      <x:c r="AK48" s="17" t="str">
        <x:v>Unknown</x:v>
      </x:c>
    </x:row>
    <x:row r="49" ht="44" customHeight="1">
      <x:c r="A49" s="17" t="str">
        <x:v>Akash Raju</x:v>
      </x:c>
      <x:c r="B49" s="17" t="str">
        <x:v>Akash</x:v>
      </x:c>
      <x:c r="C49" s="17" t="str">
        <x:v>Raju</x:v>
      </x:c>
      <x:c r="D49" s="18" t="str">
        <x:v>2016</x:v>
      </x:c>
      <x:c r="E49" s="17" t="str">
        <x:v>Confirmed</x:v>
      </x:c>
      <x:c r="F49" s="17" t="str">
        <x:v>TJHSST Founders Initiative lists Raju as Class of 2016.</x:v>
      </x:c>
      <x:c r="G49" s="17" t="str">
        <x:v>https://www.tjhsst.network/alumni</x:v>
      </x:c>
      <x:c r="H49" s="17" t="str">
        <x:v>Glimpse</x:v>
      </x:c>
      <x:c r="I49" s="17" t="str">
        <x:v>https://www.glimpse.ai/</x:v>
      </x:c>
      <x:c r="J49" s="17" t="str">
        <x:v>Co-founder and CEO</x:v>
      </x:c>
      <x:c r="K49" s="17" t="n">
        <x:v>2020</x:v>
      </x:c>
      <x:c r="L49" s="17" t="str">
        <x:v>Active</x:v>
      </x:c>
      <x:c r="M49" s="17" t="str">
        <x:v>Artificial Intelligence</x:v>
      </x:c>
      <x:c r="N49" s="17" t="str">
        <x:v>CPG analytics</x:v>
      </x:c>
      <x:c r="O49" s="17" t="str">
        <x:v>AI-powered deductions, accounting and analytics software for consumer brands.</x:v>
      </x:c>
      <x:c r="P49" s="17" t="str">
        <x:v>New York, NY</x:v>
      </x:c>
      <x:c r="Q49" s="17" t="str">
        <x:v>Yes</x:v>
      </x:c>
      <x:c r="R49" s="17" t="str">
        <x:v>$52M publicly reported</x:v>
      </x:c>
      <x:c r="S49" s="17" t="str">
        <x:v>Series A ($35M, 2026)</x:v>
      </x:c>
      <x:c r="T49" s="17" t="str">
        <x:v>Andreessen Horowitz; 8VC; others</x:v>
      </x:c>
      <x:c r="U49" s="17" t="str">
        <x:v>Y Combinator W20</x:v>
      </x:c>
      <x:c r="V49" s="17" t="str">
        <x:v>None known</x:v>
      </x:c>
      <x:c r="W49" s="17" t="str">
        <x:v>Unknown</x:v>
      </x:c>
      <x:c r="X49" s="17" t="str">
        <x:v>Unknown</x:v>
      </x:c>
      <x:c r="Y49" s="17" t="str">
        <x:v>Unknown</x:v>
      </x:c>
      <x:c r="Z49" s="17" t="str">
        <x:v>https://www.linkedin.com/in/akash-raju</x:v>
      </x:c>
      <x:c r="AA49" s="17" t="str">
        <x:v>Unknown</x:v>
      </x:c>
      <x:c r="AB49" s="17" t="str">
        <x:v>Unknown</x:v>
      </x:c>
      <x:c r="AC49" s="17" t="str">
        <x:v>Founder post and TJ founder profile identify Raju as Glimpse co-founder/CEO.</x:v>
      </x:c>
      <x:c r="AD49" s="17" t="str">
        <x:v>https://www.linkedin.com/posts/akash-raju_cpg-startups-ai-activity-7315364257129246721-CN6J</x:v>
      </x:c>
      <x:c r="AE49" s="17" t="str">
        <x:v>Unknown</x:v>
      </x:c>
      <x:c r="AF49" s="17" t="str">
        <x:v>Chappy Asel social-hub search</x:v>
      </x:c>
      <x:c r="AG49" s="17" t="str">
        <x:v>Chappy Asel LinkedIn panel post</x:v>
      </x:c>
      <x:c r="AH49" s="17" t="str">
        <x:v>https://www.linkedin.com/posts/chappyasel_thrilled-to-be-moderating-a-powerhouse-tjhsst-activity-7402354519331946496-OvYa</x:v>
      </x:c>
      <x:c r="AI49" s="18" t="n">
        <x:v>5</x:v>
      </x:c>
      <x:c r="AJ49" s="17" t="str">
        <x:v>Unknown</x:v>
      </x:c>
      <x:c r="AK49" s="17" t="str">
        <x:v>Princeton University</x:v>
      </x:c>
    </x:row>
    <x:row r="50" ht="44" customHeight="1">
      <x:c r="A50" s="17" t="str">
        <x:v>Conor Russomanno</x:v>
      </x:c>
      <x:c r="B50" s="17" t="str">
        <x:v>Conor</x:v>
      </x:c>
      <x:c r="C50" s="17" t="str">
        <x:v>Russomanno</x:v>
      </x:c>
      <x:c r="D50" s="18" t="str">
        <x:v>2007</x:v>
      </x:c>
      <x:c r="E50" s="17" t="str">
        <x:v>Confirmed</x:v>
      </x:c>
      <x:c r="F50" s="17" t="str">
        <x:v>Russomanno’s public biography lists TJHSST and Class of 2007.</x:v>
      </x:c>
      <x:c r="G50" s="17" t="str">
        <x:v>https://conorrussomanno.com/</x:v>
      </x:c>
      <x:c r="H50" s="17" t="str">
        <x:v>OpenBCI</x:v>
      </x:c>
      <x:c r="I50" s="17" t="str">
        <x:v>https://openbci.com/</x:v>
      </x:c>
      <x:c r="J50" s="17" t="str">
        <x:v>Co-founder and CEO</x:v>
      </x:c>
      <x:c r="K50" s="17" t="n">
        <x:v>2013</x:v>
      </x:c>
      <x:c r="L50" s="17" t="str">
        <x:v>Active</x:v>
      </x:c>
      <x:c r="M50" s="17" t="str">
        <x:v>Hardware</x:v>
      </x:c>
      <x:c r="N50" s="17" t="str">
        <x:v>Brain-computer interfaces</x:v>
      </x:c>
      <x:c r="O50" s="17" t="str">
        <x:v>Open-source biosensing and brain-computer-interface hardware and software.</x:v>
      </x:c>
      <x:c r="P50" s="17" t="str">
        <x:v>Brooklyn, NY</x:v>
      </x:c>
      <x:c r="Q50" s="17" t="str">
        <x:v>Crowdfunded</x:v>
      </x:c>
      <x:c r="R50" s="17" t="str">
        <x:v>At least $384K Kickstarter campaign; later financing undisclosed</x:v>
      </x:c>
      <x:c r="S50" s="17" t="str">
        <x:v>Crowdfunding / private</x:v>
      </x:c>
      <x:c r="T50" s="17" t="str">
        <x:v>Unknown</x:v>
      </x:c>
      <x:c r="U50" s="17" t="str">
        <x:v>Kickstarter</x:v>
      </x:c>
      <x:c r="V50" s="17" t="str">
        <x:v>None known</x:v>
      </x:c>
      <x:c r="W50" s="17" t="str">
        <x:v>Unknown</x:v>
      </x:c>
      <x:c r="X50" s="17" t="str">
        <x:v>Unknown</x:v>
      </x:c>
      <x:c r="Y50" s="17" t="str">
        <x:v>Unknown</x:v>
      </x:c>
      <x:c r="Z50" s="17" t="str">
        <x:v>Unknown</x:v>
      </x:c>
      <x:c r="AA50" s="17" t="str">
        <x:v>https://conorrussomanno.com/</x:v>
      </x:c>
      <x:c r="AB50" s="17" t="str">
        <x:v>Unknown</x:v>
      </x:c>
      <x:c r="AC50" s="17" t="str">
        <x:v>Russomanno’s personal website identifies him as OpenBCI founder/CEO.</x:v>
      </x:c>
      <x:c r="AD50" s="17" t="str">
        <x:v>https://conorrussomanno.com/</x:v>
      </x:c>
      <x:c r="AE50" s="17" t="str">
        <x:v>Unknown</x:v>
      </x:c>
      <x:c r="AF50" s="17" t="str">
        <x:v>TJHSST founder directory</x:v>
      </x:c>
      <x:c r="AG50" s="17" t="str">
        <x:v>TJHSST Founders Initiative</x:v>
      </x:c>
      <x:c r="AH50" s="17" t="str">
        <x:v>https://www.tjhsst.network/alumni</x:v>
      </x:c>
      <x:c r="AI50" s="18" t="n">
        <x:v>5</x:v>
      </x:c>
      <x:c r="AJ50" s="17" t="str">
        <x:v>Unknown</x:v>
      </x:c>
      <x:c r="AK50" s="17" t="str">
        <x:v>Pratt Institute; Parsons School of Design</x:v>
      </x:c>
    </x:row>
    <x:row r="51" ht="44" customHeight="1">
      <x:c r="A51" s="17" t="str">
        <x:v>Conor Russomanno</x:v>
      </x:c>
      <x:c r="B51" s="17" t="str">
        <x:v>Conor</x:v>
      </x:c>
      <x:c r="C51" s="17" t="str">
        <x:v>Russomanno</x:v>
      </x:c>
      <x:c r="D51" s="18" t="str">
        <x:v>2007</x:v>
      </x:c>
      <x:c r="E51" s="17" t="str">
        <x:v>Confirmed</x:v>
      </x:c>
      <x:c r="F51" s="17" t="str">
        <x:v>Russomanno’s public biography lists TJHSST and Class of 2007.</x:v>
      </x:c>
      <x:c r="G51" s="17" t="str">
        <x:v>https://conorrussomanno.com/</x:v>
      </x:c>
      <x:c r="H51" s="17" t="str">
        <x:v>NeuroTechNYC</x:v>
      </x:c>
      <x:c r="I51" s="17" t="str">
        <x:v>https://neurotechnyc.com/</x:v>
      </x:c>
      <x:c r="J51" s="17" t="str">
        <x:v>Founder</x:v>
      </x:c>
      <x:c r="K51" s="17" t="n">
        <x:v>2016</x:v>
      </x:c>
      <x:c r="L51" s="17" t="str">
        <x:v>Active</x:v>
      </x:c>
      <x:c r="M51" s="17" t="str">
        <x:v>Nonprofit</x:v>
      </x:c>
      <x:c r="N51" s="17" t="str">
        <x:v>Neurotechnology community</x:v>
      </x:c>
      <x:c r="O51" s="17" t="str">
        <x:v>Community organization connecting the New York neurotechnology ecosystem.</x:v>
      </x:c>
      <x:c r="P51" s="17" t="str">
        <x:v>New York, NY</x:v>
      </x:c>
      <x:c r="Q51" s="17" t="str">
        <x:v>No</x:v>
      </x:c>
      <x:c r="R51" s="17" t="str">
        <x:v>Unknown</x:v>
      </x:c>
      <x:c r="S51" s="17" t="str">
        <x:v>Community sponsorships</x:v>
      </x:c>
      <x:c r="T51" s="17" t="str">
        <x:v>Unknown</x:v>
      </x:c>
      <x:c r="U51" s="17" t="str">
        <x:v>None</x:v>
      </x:c>
      <x:c r="V51" s="17" t="str">
        <x:v>None known</x:v>
      </x:c>
      <x:c r="W51" s="17" t="str">
        <x:v>Unknown</x:v>
      </x:c>
      <x:c r="X51" s="17" t="str">
        <x:v>Unknown</x:v>
      </x:c>
      <x:c r="Y51" s="17" t="str">
        <x:v>Unknown</x:v>
      </x:c>
      <x:c r="Z51" s="17" t="str">
        <x:v>Unknown</x:v>
      </x:c>
      <x:c r="AA51" s="17" t="str">
        <x:v>https://conorrussomanno.com/</x:v>
      </x:c>
      <x:c r="AB51" s="17" t="str">
        <x:v>Unknown</x:v>
      </x:c>
      <x:c r="AC51" s="17" t="str">
        <x:v>Russomanno’s personal website identifies him as founder.</x:v>
      </x:c>
      <x:c r="AD51" s="17" t="str">
        <x:v>https://conorrussomanno.com/</x:v>
      </x:c>
      <x:c r="AE51" s="17" t="str">
        <x:v>Unknown</x:v>
      </x:c>
      <x:c r="AF51" s="17" t="str">
        <x:v>TJHSST founder directory</x:v>
      </x:c>
      <x:c r="AG51" s="17" t="str">
        <x:v>TJHSST Founders Initiative</x:v>
      </x:c>
      <x:c r="AH51" s="17" t="str">
        <x:v>https://www.tjhsst.network/alumni</x:v>
      </x:c>
      <x:c r="AI51" s="18" t="n">
        <x:v>5</x:v>
      </x:c>
      <x:c r="AJ51" s="17" t="str">
        <x:v>Unknown</x:v>
      </x:c>
      <x:c r="AK51" s="17" t="str">
        <x:v>Pratt Institute; Parsons School of Design</x:v>
      </x:c>
    </x:row>
    <x:row r="52" ht="44" customHeight="1">
      <x:c r="A52" s="17" t="str">
        <x:v>Vlad Tenev</x:v>
      </x:c>
      <x:c r="B52" s="17" t="str">
        <x:v>Vlad</x:v>
      </x:c>
      <x:c r="C52" s="17" t="str">
        <x:v>Tenev</x:v>
      </x:c>
      <x:c r="D52" s="18" t="str">
        <x:v>2004</x:v>
      </x:c>
      <x:c r="E52" s="17" t="str">
        <x:v>Confirmed</x:v>
      </x:c>
      <x:c r="F52" s="17" t="str">
        <x:v>TJHSST founder materials identify Tenev as Class of 2004; public biographies independently identify his TJ attendance.</x:v>
      </x:c>
      <x:c r="G52" s="17" t="str">
        <x:v>https://www.tjhsst.network/alumni</x:v>
      </x:c>
      <x:c r="H52" s="17" t="str">
        <x:v>Robinhood</x:v>
      </x:c>
      <x:c r="I52" s="17" t="str">
        <x:v>https://robinhood.com/</x:v>
      </x:c>
      <x:c r="J52" s="17" t="str">
        <x:v>Co-founder and CEO</x:v>
      </x:c>
      <x:c r="K52" s="17" t="n">
        <x:v>2013</x:v>
      </x:c>
      <x:c r="L52" s="17" t="str">
        <x:v>Public</x:v>
      </x:c>
      <x:c r="M52" s="17" t="str">
        <x:v>Fintech</x:v>
      </x:c>
      <x:c r="N52" s="17" t="str">
        <x:v>Retail brokerage</x:v>
      </x:c>
      <x:c r="O52" s="17" t="str">
        <x:v>Commission-free retail brokerage and financial-services platform.</x:v>
      </x:c>
      <x:c r="P52" s="17" t="str">
        <x:v>Menlo Park, CA</x:v>
      </x:c>
      <x:c r="Q52" s="17" t="str">
        <x:v>Yes</x:v>
      </x:c>
      <x:c r="R52" s="17" t="str">
        <x:v>Unknown</x:v>
      </x:c>
      <x:c r="S52" s="17" t="str">
        <x:v>IPO (2021)</x:v>
      </x:c>
      <x:c r="T52" s="17" t="str">
        <x:v>Index Ventures; NEA; Ribbit Capital; Sequoia; others</x:v>
      </x:c>
      <x:c r="U52" s="17" t="str">
        <x:v>None</x:v>
      </x:c>
      <x:c r="V52" s="17" t="str">
        <x:v>Initial public offering</x:v>
      </x:c>
      <x:c r="W52" s="17" t="str">
        <x:v>NASDAQ: HOOD</x:v>
      </x:c>
      <x:c r="X52" s="17" t="n">
        <x:v>2021</x:v>
      </x:c>
      <x:c r="Y52" s="17" t="str">
        <x:v>Unknown</x:v>
      </x:c>
      <x:c r="Z52" s="17" t="str">
        <x:v>Unknown</x:v>
      </x:c>
      <x:c r="AA52" s="17" t="str">
        <x:v>Unknown</x:v>
      </x:c>
      <x:c r="AB52" s="17" t="str">
        <x:v>Unknown</x:v>
      </x:c>
      <x:c r="AC52" s="17" t="str">
        <x:v>Robinhood’s public-company biography identifies Tenev as co-founder.</x:v>
      </x:c>
      <x:c r="AD52" s="17" t="str">
        <x:v>https://investors.robinhood.com/governance/board-of-directors/person-details/default.aspx?ItemId=6e6e73ed-6cc5-4f4c-88de-e1bf31b86268</x:v>
      </x:c>
      <x:c r="AE52" s="17" t="str">
        <x:v>Unknown</x:v>
      </x:c>
      <x:c r="AF52" s="17" t="str">
        <x:v>TJHSST founder directory</x:v>
      </x:c>
      <x:c r="AG52" s="17" t="str">
        <x:v>TJHSST Founders Initiative</x:v>
      </x:c>
      <x:c r="AH52" s="17" t="str">
        <x:v>https://www.tjhsst.network/alumni</x:v>
      </x:c>
      <x:c r="AI52" s="18" t="n">
        <x:v>5</x:v>
      </x:c>
      <x:c r="AJ52" s="17" t="str">
        <x:v>Unknown</x:v>
      </x:c>
      <x:c r="AK52" s="17" t="str">
        <x:v>Stanford University; UCLA</x:v>
      </x:c>
    </x:row>
    <x:row r="53" ht="44" customHeight="1">
      <x:c r="A53" s="17" t="str">
        <x:v>Greg Tseng</x:v>
      </x:c>
      <x:c r="B53" s="17" t="str">
        <x:v>Greg</x:v>
      </x:c>
      <x:c r="C53" s="17" t="str">
        <x:v>Tseng</x:v>
      </x:c>
      <x:c r="D53" s="18" t="str">
        <x:v>1997</x:v>
      </x:c>
      <x:c r="E53" s="17" t="str">
        <x:v>Confirmed</x:v>
      </x:c>
      <x:c r="F53" s="17" t="str">
        <x:v>TJHSST Founders Initiative lists Tseng as Class of 1997.</x:v>
      </x:c>
      <x:c r="G53" s="17" t="str">
        <x:v>https://www.tjhsst.network/alumni</x:v>
      </x:c>
      <x:c r="H53" s="17" t="str">
        <x:v>Tagged</x:v>
      </x:c>
      <x:c r="I53" s="17" t="str">
        <x:v>https://www.tagged.com/</x:v>
      </x:c>
      <x:c r="J53" s="17" t="str">
        <x:v>Co-founder and CEO</x:v>
      </x:c>
      <x:c r="K53" s="17" t="n">
        <x:v>2004</x:v>
      </x:c>
      <x:c r="L53" s="17" t="str">
        <x:v>Acquired</x:v>
      </x:c>
      <x:c r="M53" s="17" t="str">
        <x:v>Social</x:v>
      </x:c>
      <x:c r="N53" s="17" t="str">
        <x:v>Social discovery</x:v>
      </x:c>
      <x:c r="O53" s="17" t="str">
        <x:v>Social network focused on meeting new people.</x:v>
      </x:c>
      <x:c r="P53" s="17" t="str">
        <x:v>San Francisco, CA</x:v>
      </x:c>
      <x:c r="Q53" s="17" t="str">
        <x:v>Yes</x:v>
      </x:c>
      <x:c r="R53" s="17" t="str">
        <x:v>At least $8.5M publicly announced</x:v>
      </x:c>
      <x:c r="S53" s="17" t="str">
        <x:v>Venture financing</x:v>
      </x:c>
      <x:c r="T53" s="17" t="str">
        <x:v>Mayfield; Lighthouse Capital; others</x:v>
      </x:c>
      <x:c r="U53" s="17" t="str">
        <x:v>Unknown</x:v>
      </x:c>
      <x:c r="V53" s="17" t="str">
        <x:v>Acquired for approximately $60M</x:v>
      </x:c>
      <x:c r="W53" s="17" t="str">
        <x:v>The Meet Group</x:v>
      </x:c>
      <x:c r="X53" s="17" t="n">
        <x:v>2017</x:v>
      </x:c>
      <x:c r="Y53" s="17" t="str">
        <x:v>Former founder</x:v>
      </x:c>
      <x:c r="Z53" s="17" t="str">
        <x:v>Unknown</x:v>
      </x:c>
      <x:c r="AA53" s="17" t="str">
        <x:v>Unknown</x:v>
      </x:c>
      <x:c r="AB53" s="17" t="str">
        <x:v>Unknown</x:v>
      </x:c>
      <x:c r="AC53" s="17" t="str">
        <x:v>Public biographies and acquisition histories identify Tseng as founder/co-founder.</x:v>
      </x:c>
      <x:c r="AD53" s="17" t="str">
        <x:v>https://en.wikipedia.org/wiki/Greg_Tseng</x:v>
      </x:c>
      <x:c r="AE53" s="17" t="str">
        <x:v>Unknown</x:v>
      </x:c>
      <x:c r="AF53" s="17" t="str">
        <x:v>TJHSST founder directory</x:v>
      </x:c>
      <x:c r="AG53" s="17" t="str">
        <x:v>TJHSST Founders Initiative</x:v>
      </x:c>
      <x:c r="AH53" s="17" t="str">
        <x:v>https://www.tjhsst.network/alumni</x:v>
      </x:c>
      <x:c r="AI53" s="18" t="n">
        <x:v>4</x:v>
      </x:c>
      <x:c r="AJ53" s="17" t="str">
        <x:v>Unknown</x:v>
      </x:c>
      <x:c r="AK53" s="17" t="str">
        <x:v>Harvard University; Stanford University</x:v>
      </x:c>
    </x:row>
    <x:row r="54" ht="44" customHeight="1">
      <x:c r="A54" s="17" t="str">
        <x:v>Greg Tseng</x:v>
      </x:c>
      <x:c r="B54" s="17" t="str">
        <x:v>Greg</x:v>
      </x:c>
      <x:c r="C54" s="17" t="str">
        <x:v>Tseng</x:v>
      </x:c>
      <x:c r="D54" s="18" t="str">
        <x:v>1997</x:v>
      </x:c>
      <x:c r="E54" s="17" t="str">
        <x:v>Confirmed</x:v>
      </x:c>
      <x:c r="F54" s="17" t="str">
        <x:v>TJHSST Founders Initiative lists Tseng as Class of 1997.</x:v>
      </x:c>
      <x:c r="G54" s="17" t="str">
        <x:v>https://www.tjhsst.network/alumni</x:v>
      </x:c>
      <x:c r="H54" s="17" t="str">
        <x:v>Jumpstart Technologies</x:v>
      </x:c>
      <x:c r="I54" s="17" t="str">
        <x:v>Unknown</x:v>
      </x:c>
      <x:c r="J54" s="17" t="str">
        <x:v>Co-founder</x:v>
      </x:c>
      <x:c r="K54" s="17" t="n">
        <x:v>2000</x:v>
      </x:c>
      <x:c r="L54" s="17" t="str">
        <x:v>Acquired</x:v>
      </x:c>
      <x:c r="M54" s="17" t="str">
        <x:v>Consumer</x:v>
      </x:c>
      <x:c r="N54" s="17" t="str">
        <x:v>Online promotions</x:v>
      </x:c>
      <x:c r="O54" s="17" t="str">
        <x:v>Viral online-marketing and promotions business.</x:v>
      </x:c>
      <x:c r="P54" s="17" t="str">
        <x:v>San Francisco, CA</x:v>
      </x:c>
      <x:c r="Q54" s="17" t="str">
        <x:v>Yes</x:v>
      </x:c>
      <x:c r="R54" s="17" t="str">
        <x:v>Unknown</x:v>
      </x:c>
      <x:c r="S54" s="17" t="str">
        <x:v>Unknown</x:v>
      </x:c>
      <x:c r="T54" s="17" t="str">
        <x:v>Unknown</x:v>
      </x:c>
      <x:c r="U54" s="17" t="str">
        <x:v>None</x:v>
      </x:c>
      <x:c r="V54" s="17" t="str">
        <x:v>Acquired</x:v>
      </x:c>
      <x:c r="W54" s="17" t="str">
        <x:v>Unknown</x:v>
      </x:c>
      <x:c r="X54" s="17" t="str">
        <x:v>Unknown</x:v>
      </x:c>
      <x:c r="Y54" s="17" t="str">
        <x:v>Former founder</x:v>
      </x:c>
      <x:c r="Z54" s="17" t="str">
        <x:v>Unknown</x:v>
      </x:c>
      <x:c r="AA54" s="17" t="str">
        <x:v>Unknown</x:v>
      </x:c>
      <x:c r="AB54" s="17" t="str">
        <x:v>Unknown</x:v>
      </x:c>
      <x:c r="AC54" s="17" t="str">
        <x:v>Public biographies and acquisition histories identify Tseng as founder/co-founder.</x:v>
      </x:c>
      <x:c r="AD54" s="17" t="str">
        <x:v>https://en.wikipedia.org/wiki/Greg_Tseng</x:v>
      </x:c>
      <x:c r="AE54" s="17" t="str">
        <x:v>Unknown</x:v>
      </x:c>
      <x:c r="AF54" s="17" t="str">
        <x:v>TJHSST founder directory</x:v>
      </x:c>
      <x:c r="AG54" s="17" t="str">
        <x:v>TJHSST Founders Initiative</x:v>
      </x:c>
      <x:c r="AH54" s="17" t="str">
        <x:v>https://www.tjhsst.network/alumni</x:v>
      </x:c>
      <x:c r="AI54" s="18" t="n">
        <x:v>4</x:v>
      </x:c>
      <x:c r="AJ54" s="17" t="str">
        <x:v>Unknown</x:v>
      </x:c>
      <x:c r="AK54" s="17" t="str">
        <x:v>Harvard University; Stanford University</x:v>
      </x:c>
    </x:row>
    <x:row r="55" ht="44" customHeight="1">
      <x:c r="A55" s="17" t="str">
        <x:v>Greg Tseng</x:v>
      </x:c>
      <x:c r="B55" s="17" t="str">
        <x:v>Greg</x:v>
      </x:c>
      <x:c r="C55" s="17" t="str">
        <x:v>Tseng</x:v>
      </x:c>
      <x:c r="D55" s="18" t="str">
        <x:v>1997</x:v>
      </x:c>
      <x:c r="E55" s="17" t="str">
        <x:v>Confirmed</x:v>
      </x:c>
      <x:c r="F55" s="17" t="str">
        <x:v>TJHSST Founders Initiative lists Tseng as Class of 1997.</x:v>
      </x:c>
      <x:c r="G55" s="17" t="str">
        <x:v>https://www.tjhsst.network/alumni</x:v>
      </x:c>
      <x:c r="H55" s="17" t="str">
        <x:v>flyingchickens.com</x:v>
      </x:c>
      <x:c r="I55" s="17" t="str">
        <x:v>Unknown</x:v>
      </x:c>
      <x:c r="J55" s="17" t="str">
        <x:v>Co-founder</x:v>
      </x:c>
      <x:c r="K55" s="17" t="n">
        <x:v>1999</x:v>
      </x:c>
      <x:c r="L55" s="17" t="str">
        <x:v>Closed</x:v>
      </x:c>
      <x:c r="M55" s="17" t="str">
        <x:v>Consumer</x:v>
      </x:c>
      <x:c r="N55" s="17" t="str">
        <x:v>College community</x:v>
      </x:c>
      <x:c r="O55" s="17" t="str">
        <x:v>Early college-focused internet startup founded by Tseng.</x:v>
      </x:c>
      <x:c r="P55" s="17" t="str">
        <x:v>Unknown</x:v>
      </x:c>
      <x:c r="Q55" s="17" t="str">
        <x:v>Bootstrapped</x:v>
      </x:c>
      <x:c r="R55" s="17" t="str">
        <x:v>Unknown</x:v>
      </x:c>
      <x:c r="S55" s="17" t="str">
        <x:v>Unknown</x:v>
      </x:c>
      <x:c r="T55" s="17" t="str">
        <x:v>Unknown</x:v>
      </x:c>
      <x:c r="U55" s="17" t="str">
        <x:v>None</x:v>
      </x:c>
      <x:c r="V55" s="17" t="str">
        <x:v>Closed</x:v>
      </x:c>
      <x:c r="W55" s="17" t="str">
        <x:v>Unknown</x:v>
      </x:c>
      <x:c r="X55" s="17" t="str">
        <x:v>Unknown</x:v>
      </x:c>
      <x:c r="Y55" s="17" t="str">
        <x:v>Former founder</x:v>
      </x:c>
      <x:c r="Z55" s="17" t="str">
        <x:v>Unknown</x:v>
      </x:c>
      <x:c r="AA55" s="17" t="str">
        <x:v>Unknown</x:v>
      </x:c>
      <x:c r="AB55" s="17" t="str">
        <x:v>Unknown</x:v>
      </x:c>
      <x:c r="AC55" s="17" t="str">
        <x:v>Public biographies and acquisition histories identify Tseng as founder/co-founder.</x:v>
      </x:c>
      <x:c r="AD55" s="17" t="str">
        <x:v>https://en.wikipedia.org/wiki/Greg_Tseng</x:v>
      </x:c>
      <x:c r="AE55" s="17" t="str">
        <x:v>Unknown</x:v>
      </x:c>
      <x:c r="AF55" s="17" t="str">
        <x:v>TJHSST founder directory</x:v>
      </x:c>
      <x:c r="AG55" s="17" t="str">
        <x:v>TJHSST Founders Initiative</x:v>
      </x:c>
      <x:c r="AH55" s="17" t="str">
        <x:v>https://www.tjhsst.network/alumni</x:v>
      </x:c>
      <x:c r="AI55" s="18" t="n">
        <x:v>4</x:v>
      </x:c>
      <x:c r="AJ55" s="17" t="str">
        <x:v>Unknown</x:v>
      </x:c>
      <x:c r="AK55" s="17" t="str">
        <x:v>Harvard University; Stanford University</x:v>
      </x:c>
    </x:row>
    <x:row r="56" ht="44" customHeight="1">
      <x:c r="A56" s="17" t="str">
        <x:v>Geoffrey von Maltzahn</x:v>
      </x:c>
      <x:c r="B56" s="17" t="str">
        <x:v>Geoffrey</x:v>
      </x:c>
      <x:c r="C56" s="17" t="str">
        <x:v>von Maltzahn</x:v>
      </x:c>
      <x:c r="D56" s="18" t="str">
        <x:v>1998</x:v>
      </x:c>
      <x:c r="E56" s="17" t="str">
        <x:v>Confirmed</x:v>
      </x:c>
      <x:c r="F56" s="17" t="str">
        <x:v>TJHSST Founders Initiative lists von Maltzahn as Class of 1998; one older secondary list gives 1999, noted as a conflict.</x:v>
      </x:c>
      <x:c r="G56" s="17" t="str">
        <x:v>https://www.tjhsst.network/alumni</x:v>
      </x:c>
      <x:c r="H56" s="17" t="str">
        <x:v>Indigo Agriculture</x:v>
      </x:c>
      <x:c r="I56" s="17" t="str">
        <x:v>https://www.indigoag.com/</x:v>
      </x:c>
      <x:c r="J56" s="17" t="str">
        <x:v>Co-founder</x:v>
      </x:c>
      <x:c r="K56" s="17" t="n">
        <x:v>2014</x:v>
      </x:c>
      <x:c r="L56" s="17" t="str">
        <x:v>Active</x:v>
      </x:c>
      <x:c r="M56" s="17" t="str">
        <x:v>Agriculture</x:v>
      </x:c>
      <x:c r="N56" s="17" t="str">
        <x:v>Agricultural technology</x:v>
      </x:c>
      <x:c r="O56" s="17" t="str">
        <x:v>Biological and digital technologies for crop productivity and sustainable agriculture.</x:v>
      </x:c>
      <x:c r="P56" s="17" t="str">
        <x:v>Boston, MA</x:v>
      </x:c>
      <x:c r="Q56" s="17" t="str">
        <x:v>Yes</x:v>
      </x:c>
      <x:c r="R56" s="17" t="str">
        <x:v>Unknown</x:v>
      </x:c>
      <x:c r="S56" s="17" t="str">
        <x:v>Private financing</x:v>
      </x:c>
      <x:c r="T56" s="17" t="str">
        <x:v>Flagship Pioneering; others</x:v>
      </x:c>
      <x:c r="U56" s="17" t="str">
        <x:v>Flagship Pioneering</x:v>
      </x:c>
      <x:c r="V56" s="17" t="str">
        <x:v>None known</x:v>
      </x:c>
      <x:c r="W56" s="17" t="str">
        <x:v>Unknown</x:v>
      </x:c>
      <x:c r="X56" s="17" t="str">
        <x:v>Unknown</x:v>
      </x:c>
      <x:c r="Y56" s="17" t="str">
        <x:v>Unknown</x:v>
      </x:c>
      <x:c r="Z56" s="17" t="str">
        <x:v>Unknown</x:v>
      </x:c>
      <x:c r="AA56" s="17" t="str">
        <x:v>Unknown</x:v>
      </x:c>
      <x:c r="AB56" s="17" t="str">
        <x:v>Unknown</x:v>
      </x:c>
      <x:c r="AC56" s="17" t="str">
        <x:v>MIT’s 2026 commencement biography identifies von Maltzahn as founder/co-founder of these companies.</x:v>
      </x:c>
      <x:c r="AD56" s="17" t="str">
        <x:v>https://commencement.mit.edu/sites/default/files/c26-SOE-SCC-program-final.pdf</x:v>
      </x:c>
      <x:c r="AE56" s="17" t="str">
        <x:v>Unknown</x:v>
      </x:c>
      <x:c r="AF56" s="17" t="str">
        <x:v>TJHSST founder directory</x:v>
      </x:c>
      <x:c r="AG56" s="17" t="str">
        <x:v>TJHSST Founders Initiative</x:v>
      </x:c>
      <x:c r="AH56" s="17" t="str">
        <x:v>https://www.tjhsst.network/alumni</x:v>
      </x:c>
      <x:c r="AI56" s="18" t="n">
        <x:v>5</x:v>
      </x:c>
      <x:c r="AJ56" s="17" t="str">
        <x:v>Graduation-year conflict: current TJHSST Founders Initiative says 1998; an older copied alumni list says 1999.</x:v>
      </x:c>
      <x:c r="AK56" s="17" t="str">
        <x:v>MIT</x:v>
      </x:c>
    </x:row>
    <x:row r="57" ht="44" customHeight="1">
      <x:c r="A57" s="17" t="str">
        <x:v>Geoffrey von Maltzahn</x:v>
      </x:c>
      <x:c r="B57" s="17" t="str">
        <x:v>Geoffrey</x:v>
      </x:c>
      <x:c r="C57" s="17" t="str">
        <x:v>von Maltzahn</x:v>
      </x:c>
      <x:c r="D57" s="18" t="str">
        <x:v>1998</x:v>
      </x:c>
      <x:c r="E57" s="17" t="str">
        <x:v>Confirmed</x:v>
      </x:c>
      <x:c r="F57" s="17" t="str">
        <x:v>TJHSST Founders Initiative lists von Maltzahn as Class of 1998; one older secondary list gives 1999, noted as a conflict.</x:v>
      </x:c>
      <x:c r="G57" s="17" t="str">
        <x:v>https://www.tjhsst.network/alumni</x:v>
      </x:c>
      <x:c r="H57" s="17" t="str">
        <x:v>Seres Therapeutics</x:v>
      </x:c>
      <x:c r="I57" s="17" t="str">
        <x:v>https://www.serestherapeutics.com/</x:v>
      </x:c>
      <x:c r="J57" s="17" t="str">
        <x:v>Co-founder</x:v>
      </x:c>
      <x:c r="K57" s="17" t="n">
        <x:v>2010</x:v>
      </x:c>
      <x:c r="L57" s="17" t="str">
        <x:v>Public</x:v>
      </x:c>
      <x:c r="M57" s="17" t="str">
        <x:v>Biotech</x:v>
      </x:c>
      <x:c r="N57" s="17" t="str">
        <x:v>Microbiome therapeutics</x:v>
      </x:c>
      <x:c r="O57" s="17" t="str">
        <x:v>Biotechnology company developing microbiome therapeutics.</x:v>
      </x:c>
      <x:c r="P57" s="17" t="str">
        <x:v>Cambridge, MA</x:v>
      </x:c>
      <x:c r="Q57" s="17" t="str">
        <x:v>Yes</x:v>
      </x:c>
      <x:c r="R57" s="17" t="str">
        <x:v>Unknown</x:v>
      </x:c>
      <x:c r="S57" s="17" t="str">
        <x:v>IPO (2015)</x:v>
      </x:c>
      <x:c r="T57" s="17" t="str">
        <x:v>Flagship Pioneering; others</x:v>
      </x:c>
      <x:c r="U57" s="17" t="str">
        <x:v>Flagship Pioneering</x:v>
      </x:c>
      <x:c r="V57" s="17" t="str">
        <x:v>Initial public offering</x:v>
      </x:c>
      <x:c r="W57" s="17" t="str">
        <x:v>NASDAQ: MCRB</x:v>
      </x:c>
      <x:c r="X57" s="17" t="n">
        <x:v>2015</x:v>
      </x:c>
      <x:c r="Y57" s="17" t="str">
        <x:v>Unknown</x:v>
      </x:c>
      <x:c r="Z57" s="17" t="str">
        <x:v>Unknown</x:v>
      </x:c>
      <x:c r="AA57" s="17" t="str">
        <x:v>Unknown</x:v>
      </x:c>
      <x:c r="AB57" s="17" t="str">
        <x:v>Unknown</x:v>
      </x:c>
      <x:c r="AC57" s="17" t="str">
        <x:v>MIT’s 2026 commencement biography identifies von Maltzahn as founder/co-founder of these companies.</x:v>
      </x:c>
      <x:c r="AD57" s="17" t="str">
        <x:v>https://commencement.mit.edu/sites/default/files/c26-SOE-SCC-program-final.pdf</x:v>
      </x:c>
      <x:c r="AE57" s="17" t="str">
        <x:v>Unknown</x:v>
      </x:c>
      <x:c r="AF57" s="17" t="str">
        <x:v>TJHSST founder directory</x:v>
      </x:c>
      <x:c r="AG57" s="17" t="str">
        <x:v>TJHSST Founders Initiative</x:v>
      </x:c>
      <x:c r="AH57" s="17" t="str">
        <x:v>https://www.tjhsst.network/alumni</x:v>
      </x:c>
      <x:c r="AI57" s="18" t="n">
        <x:v>5</x:v>
      </x:c>
      <x:c r="AJ57" s="17" t="str">
        <x:v>Graduation-year conflict: current TJHSST Founders Initiative says 1998; an older copied alumni list says 1999.</x:v>
      </x:c>
      <x:c r="AK57" s="17" t="str">
        <x:v>MIT</x:v>
      </x:c>
    </x:row>
    <x:row r="58" ht="44" customHeight="1">
      <x:c r="A58" s="17" t="str">
        <x:v>Geoffrey von Maltzahn</x:v>
      </x:c>
      <x:c r="B58" s="17" t="str">
        <x:v>Geoffrey</x:v>
      </x:c>
      <x:c r="C58" s="17" t="str">
        <x:v>von Maltzahn</x:v>
      </x:c>
      <x:c r="D58" s="18" t="str">
        <x:v>1998</x:v>
      </x:c>
      <x:c r="E58" s="17" t="str">
        <x:v>Confirmed</x:v>
      </x:c>
      <x:c r="F58" s="17" t="str">
        <x:v>TJHSST Founders Initiative lists von Maltzahn as Class of 1998; one older secondary list gives 1999, noted as a conflict.</x:v>
      </x:c>
      <x:c r="G58" s="17" t="str">
        <x:v>https://www.tjhsst.network/alumni</x:v>
      </x:c>
      <x:c r="H58" s="17" t="str">
        <x:v>Generate Biomedicines</x:v>
      </x:c>
      <x:c r="I58" s="17" t="str">
        <x:v>https://generatebiomedicines.com/</x:v>
      </x:c>
      <x:c r="J58" s="17" t="str">
        <x:v>Co-founder</x:v>
      </x:c>
      <x:c r="K58" s="17" t="n">
        <x:v>2018</x:v>
      </x:c>
      <x:c r="L58" s="17" t="str">
        <x:v>Public</x:v>
      </x:c>
      <x:c r="M58" s="17" t="str">
        <x:v>Biotech</x:v>
      </x:c>
      <x:c r="N58" s="17" t="str">
        <x:v>Generative biology</x:v>
      </x:c>
      <x:c r="O58" s="17" t="str">
        <x:v>Generative-AI platform for designing protein therapeutics.</x:v>
      </x:c>
      <x:c r="P58" s="17" t="str">
        <x:v>Somerville, MA</x:v>
      </x:c>
      <x:c r="Q58" s="17" t="str">
        <x:v>Yes</x:v>
      </x:c>
      <x:c r="R58" s="17" t="str">
        <x:v>Unknown</x:v>
      </x:c>
      <x:c r="S58" s="17" t="str">
        <x:v>IPO (2026)</x:v>
      </x:c>
      <x:c r="T58" s="17" t="str">
        <x:v>Flagship Pioneering; others</x:v>
      </x:c>
      <x:c r="U58" s="17" t="str">
        <x:v>Flagship Pioneering</x:v>
      </x:c>
      <x:c r="V58" s="17" t="str">
        <x:v>Initial public offering</x:v>
      </x:c>
      <x:c r="W58" s="17" t="str">
        <x:v>Public market</x:v>
      </x:c>
      <x:c r="X58" s="17" t="n">
        <x:v>2026</x:v>
      </x:c>
      <x:c r="Y58" s="17" t="str">
        <x:v>Unknown</x:v>
      </x:c>
      <x:c r="Z58" s="17" t="str">
        <x:v>Unknown</x:v>
      </x:c>
      <x:c r="AA58" s="17" t="str">
        <x:v>Unknown</x:v>
      </x:c>
      <x:c r="AB58" s="17" t="str">
        <x:v>Unknown</x:v>
      </x:c>
      <x:c r="AC58" s="17" t="str">
        <x:v>MIT’s 2026 commencement biography identifies von Maltzahn as founder/co-founder of these companies.</x:v>
      </x:c>
      <x:c r="AD58" s="17" t="str">
        <x:v>https://commencement.mit.edu/sites/default/files/c26-SOE-SCC-program-final.pdf</x:v>
      </x:c>
      <x:c r="AE58" s="17" t="str">
        <x:v>Unknown</x:v>
      </x:c>
      <x:c r="AF58" s="17" t="str">
        <x:v>TJHSST founder directory</x:v>
      </x:c>
      <x:c r="AG58" s="17" t="str">
        <x:v>TJHSST Founders Initiative</x:v>
      </x:c>
      <x:c r="AH58" s="17" t="str">
        <x:v>https://www.tjhsst.network/alumni</x:v>
      </x:c>
      <x:c r="AI58" s="18" t="n">
        <x:v>5</x:v>
      </x:c>
      <x:c r="AJ58" s="17" t="str">
        <x:v>Graduation-year conflict: current TJHSST Founders Initiative says 1998; an older copied alumni list says 1999.</x:v>
      </x:c>
      <x:c r="AK58" s="17" t="str">
        <x:v>MIT</x:v>
      </x:c>
    </x:row>
    <x:row r="59" ht="44" customHeight="1">
      <x:c r="A59" s="17" t="str">
        <x:v>Geoffrey von Maltzahn</x:v>
      </x:c>
      <x:c r="B59" s="17" t="str">
        <x:v>Geoffrey</x:v>
      </x:c>
      <x:c r="C59" s="17" t="str">
        <x:v>von Maltzahn</x:v>
      </x:c>
      <x:c r="D59" s="18" t="str">
        <x:v>1998</x:v>
      </x:c>
      <x:c r="E59" s="17" t="str">
        <x:v>Confirmed</x:v>
      </x:c>
      <x:c r="F59" s="17" t="str">
        <x:v>TJHSST Founders Initiative lists von Maltzahn as Class of 1998; one older secondary list gives 1999, noted as a conflict.</x:v>
      </x:c>
      <x:c r="G59" s="17" t="str">
        <x:v>https://www.tjhsst.network/alumni</x:v>
      </x:c>
      <x:c r="H59" s="17" t="str">
        <x:v>Tessera Therapeutics</x:v>
      </x:c>
      <x:c r="I59" s="17" t="str">
        <x:v>https://www.tesseratx.com/</x:v>
      </x:c>
      <x:c r="J59" s="17" t="str">
        <x:v>Co-founder</x:v>
      </x:c>
      <x:c r="K59" s="17" t="n">
        <x:v>2018</x:v>
      </x:c>
      <x:c r="L59" s="17" t="str">
        <x:v>Active</x:v>
      </x:c>
      <x:c r="M59" s="17" t="str">
        <x:v>Biotech</x:v>
      </x:c>
      <x:c r="N59" s="17" t="str">
        <x:v>Gene writing</x:v>
      </x:c>
      <x:c r="O59" s="17" t="str">
        <x:v>Biotechnology company developing gene-writing medicines.</x:v>
      </x:c>
      <x:c r="P59" s="17" t="str">
        <x:v>Somerville, MA</x:v>
      </x:c>
      <x:c r="Q59" s="17" t="str">
        <x:v>Yes</x:v>
      </x:c>
      <x:c r="R59" s="17" t="str">
        <x:v>Unknown</x:v>
      </x:c>
      <x:c r="S59" s="17" t="str">
        <x:v>Private financing</x:v>
      </x:c>
      <x:c r="T59" s="17" t="str">
        <x:v>Flagship Pioneering; others</x:v>
      </x:c>
      <x:c r="U59" s="17" t="str">
        <x:v>Flagship Pioneering</x:v>
      </x:c>
      <x:c r="V59" s="17" t="str">
        <x:v>None known</x:v>
      </x:c>
      <x:c r="W59" s="17" t="str">
        <x:v>Unknown</x:v>
      </x:c>
      <x:c r="X59" s="17" t="str">
        <x:v>Unknown</x:v>
      </x:c>
      <x:c r="Y59" s="17" t="str">
        <x:v>Unknown</x:v>
      </x:c>
      <x:c r="Z59" s="17" t="str">
        <x:v>Unknown</x:v>
      </x:c>
      <x:c r="AA59" s="17" t="str">
        <x:v>Unknown</x:v>
      </x:c>
      <x:c r="AB59" s="17" t="str">
        <x:v>Unknown</x:v>
      </x:c>
      <x:c r="AC59" s="17" t="str">
        <x:v>MIT’s 2026 commencement biography identifies von Maltzahn as founder/co-founder of these companies.</x:v>
      </x:c>
      <x:c r="AD59" s="17" t="str">
        <x:v>https://commencement.mit.edu/sites/default/files/c26-SOE-SCC-program-final.pdf</x:v>
      </x:c>
      <x:c r="AE59" s="17" t="str">
        <x:v>Unknown</x:v>
      </x:c>
      <x:c r="AF59" s="17" t="str">
        <x:v>TJHSST founder directory</x:v>
      </x:c>
      <x:c r="AG59" s="17" t="str">
        <x:v>TJHSST Founders Initiative</x:v>
      </x:c>
      <x:c r="AH59" s="17" t="str">
        <x:v>https://www.tjhsst.network/alumni</x:v>
      </x:c>
      <x:c r="AI59" s="18" t="n">
        <x:v>5</x:v>
      </x:c>
      <x:c r="AJ59" s="17" t="str">
        <x:v>Graduation-year conflict: current TJHSST Founders Initiative says 1998; an older copied alumni list says 1999.</x:v>
      </x:c>
      <x:c r="AK59" s="17" t="str">
        <x:v>MIT</x:v>
      </x:c>
    </x:row>
    <x:row r="60" ht="44" customHeight="1">
      <x:c r="A60" s="17" t="str">
        <x:v>Geoffrey von Maltzahn</x:v>
      </x:c>
      <x:c r="B60" s="17" t="str">
        <x:v>Geoffrey</x:v>
      </x:c>
      <x:c r="C60" s="17" t="str">
        <x:v>von Maltzahn</x:v>
      </x:c>
      <x:c r="D60" s="18" t="str">
        <x:v>1998</x:v>
      </x:c>
      <x:c r="E60" s="17" t="str">
        <x:v>Confirmed</x:v>
      </x:c>
      <x:c r="F60" s="17" t="str">
        <x:v>TJHSST Founders Initiative lists von Maltzahn as Class of 1998; one older secondary list gives 1999, noted as a conflict.</x:v>
      </x:c>
      <x:c r="G60" s="17" t="str">
        <x:v>https://www.tjhsst.network/alumni</x:v>
      </x:c>
      <x:c r="H60" s="17" t="str">
        <x:v>Quotient Therapeutics</x:v>
      </x:c>
      <x:c r="I60" s="17" t="str">
        <x:v>https://www.quotienttx.com/</x:v>
      </x:c>
      <x:c r="J60" s="17" t="str">
        <x:v>Co-founder</x:v>
      </x:c>
      <x:c r="K60" s="17" t="n">
        <x:v>2022</x:v>
      </x:c>
      <x:c r="L60" s="17" t="str">
        <x:v>Active</x:v>
      </x:c>
      <x:c r="M60" s="17" t="str">
        <x:v>Biotech</x:v>
      </x:c>
      <x:c r="N60" s="17" t="str">
        <x:v>Somatic genomics</x:v>
      </x:c>
      <x:c r="O60" s="17" t="str">
        <x:v>Biotechnology company using somatic genomics for therapeutic discovery.</x:v>
      </x:c>
      <x:c r="P60" s="17" t="str">
        <x:v>Cambridge, MA</x:v>
      </x:c>
      <x:c r="Q60" s="17" t="str">
        <x:v>Yes</x:v>
      </x:c>
      <x:c r="R60" s="17" t="str">
        <x:v>Unknown</x:v>
      </x:c>
      <x:c r="S60" s="17" t="str">
        <x:v>Private financing</x:v>
      </x:c>
      <x:c r="T60" s="17" t="str">
        <x:v>Flagship Pioneering; others</x:v>
      </x:c>
      <x:c r="U60" s="17" t="str">
        <x:v>Flagship Pioneering</x:v>
      </x:c>
      <x:c r="V60" s="17" t="str">
        <x:v>None known</x:v>
      </x:c>
      <x:c r="W60" s="17" t="str">
        <x:v>Unknown</x:v>
      </x:c>
      <x:c r="X60" s="17" t="str">
        <x:v>Unknown</x:v>
      </x:c>
      <x:c r="Y60" s="17" t="str">
        <x:v>Unknown</x:v>
      </x:c>
      <x:c r="Z60" s="17" t="str">
        <x:v>Unknown</x:v>
      </x:c>
      <x:c r="AA60" s="17" t="str">
        <x:v>Unknown</x:v>
      </x:c>
      <x:c r="AB60" s="17" t="str">
        <x:v>Unknown</x:v>
      </x:c>
      <x:c r="AC60" s="17" t="str">
        <x:v>MIT’s 2026 commencement biography identifies von Maltzahn as founder/co-founder of these companies.</x:v>
      </x:c>
      <x:c r="AD60" s="17" t="str">
        <x:v>https://commencement.mit.edu/sites/default/files/c26-SOE-SCC-program-final.pdf</x:v>
      </x:c>
      <x:c r="AE60" s="17" t="str">
        <x:v>Unknown</x:v>
      </x:c>
      <x:c r="AF60" s="17" t="str">
        <x:v>TJHSST founder directory</x:v>
      </x:c>
      <x:c r="AG60" s="17" t="str">
        <x:v>TJHSST Founders Initiative</x:v>
      </x:c>
      <x:c r="AH60" s="17" t="str">
        <x:v>https://www.tjhsst.network/alumni</x:v>
      </x:c>
      <x:c r="AI60" s="18" t="n">
        <x:v>5</x:v>
      </x:c>
      <x:c r="AJ60" s="17" t="str">
        <x:v>Graduation-year conflict: current TJHSST Founders Initiative says 1998; an older copied alumni list says 1999.</x:v>
      </x:c>
      <x:c r="AK60" s="17" t="str">
        <x:v>MIT</x:v>
      </x:c>
    </x:row>
    <x:row r="61" ht="44" customHeight="1">
      <x:c r="A61" s="17" t="str">
        <x:v>Geoffrey von Maltzahn</x:v>
      </x:c>
      <x:c r="B61" s="17" t="str">
        <x:v>Geoffrey</x:v>
      </x:c>
      <x:c r="C61" s="17" t="str">
        <x:v>von Maltzahn</x:v>
      </x:c>
      <x:c r="D61" s="18" t="str">
        <x:v>1998</x:v>
      </x:c>
      <x:c r="E61" s="17" t="str">
        <x:v>Confirmed</x:v>
      </x:c>
      <x:c r="F61" s="17" t="str">
        <x:v>TJHSST Founders Initiative lists von Maltzahn as Class of 1998; one older secondary list gives 1999, noted as a conflict.</x:v>
      </x:c>
      <x:c r="G61" s="17" t="str">
        <x:v>https://www.tjhsst.network/alumni</x:v>
      </x:c>
      <x:c r="H61" s="17" t="str">
        <x:v>Sana Biotechnology</x:v>
      </x:c>
      <x:c r="I61" s="17" t="str">
        <x:v>https://sana.com/</x:v>
      </x:c>
      <x:c r="J61" s="17" t="str">
        <x:v>Co-founder</x:v>
      </x:c>
      <x:c r="K61" s="17" t="n">
        <x:v>2018</x:v>
      </x:c>
      <x:c r="L61" s="17" t="str">
        <x:v>Public</x:v>
      </x:c>
      <x:c r="M61" s="17" t="str">
        <x:v>Biotech</x:v>
      </x:c>
      <x:c r="N61" s="17" t="str">
        <x:v>Cell and gene therapy</x:v>
      </x:c>
      <x:c r="O61" s="17" t="str">
        <x:v>Cell and gene therapy biotechnology company.</x:v>
      </x:c>
      <x:c r="P61" s="17" t="str">
        <x:v>Seattle, WA</x:v>
      </x:c>
      <x:c r="Q61" s="17" t="str">
        <x:v>Yes</x:v>
      </x:c>
      <x:c r="R61" s="17" t="str">
        <x:v>Unknown</x:v>
      </x:c>
      <x:c r="S61" s="17" t="str">
        <x:v>IPO (2021)</x:v>
      </x:c>
      <x:c r="T61" s="17" t="str">
        <x:v>Flagship Pioneering; others</x:v>
      </x:c>
      <x:c r="U61" s="17" t="str">
        <x:v>Unknown</x:v>
      </x:c>
      <x:c r="V61" s="17" t="str">
        <x:v>Initial public offering</x:v>
      </x:c>
      <x:c r="W61" s="17" t="str">
        <x:v>NASDAQ: SANA</x:v>
      </x:c>
      <x:c r="X61" s="17" t="n">
        <x:v>2021</x:v>
      </x:c>
      <x:c r="Y61" s="17" t="str">
        <x:v>Unknown</x:v>
      </x:c>
      <x:c r="Z61" s="17" t="str">
        <x:v>Unknown</x:v>
      </x:c>
      <x:c r="AA61" s="17" t="str">
        <x:v>Unknown</x:v>
      </x:c>
      <x:c r="AB61" s="17" t="str">
        <x:v>Unknown</x:v>
      </x:c>
      <x:c r="AC61" s="17" t="str">
        <x:v>MIT’s 2026 commencement biography identifies von Maltzahn as founder/co-founder of these companies.</x:v>
      </x:c>
      <x:c r="AD61" s="17" t="str">
        <x:v>https://commencement.mit.edu/sites/default/files/c26-SOE-SCC-program-final.pdf</x:v>
      </x:c>
      <x:c r="AE61" s="17" t="str">
        <x:v>Unknown</x:v>
      </x:c>
      <x:c r="AF61" s="17" t="str">
        <x:v>TJHSST founder directory</x:v>
      </x:c>
      <x:c r="AG61" s="17" t="str">
        <x:v>TJHSST Founders Initiative</x:v>
      </x:c>
      <x:c r="AH61" s="17" t="str">
        <x:v>https://www.tjhsst.network/alumni</x:v>
      </x:c>
      <x:c r="AI61" s="18" t="n">
        <x:v>5</x:v>
      </x:c>
      <x:c r="AJ61" s="17" t="str">
        <x:v>Graduation-year conflict: current TJHSST Founders Initiative says 1998; an older copied alumni list says 1999.</x:v>
      </x:c>
      <x:c r="AK61" s="17" t="str">
        <x:v>MIT</x:v>
      </x:c>
    </x:row>
    <x:row r="62" ht="44" customHeight="1">
      <x:c r="A62" s="17" t="str">
        <x:v>Geoffrey von Maltzahn</x:v>
      </x:c>
      <x:c r="B62" s="17" t="str">
        <x:v>Geoffrey</x:v>
      </x:c>
      <x:c r="C62" s="17" t="str">
        <x:v>von Maltzahn</x:v>
      </x:c>
      <x:c r="D62" s="18" t="str">
        <x:v>1998</x:v>
      </x:c>
      <x:c r="E62" s="17" t="str">
        <x:v>Confirmed</x:v>
      </x:c>
      <x:c r="F62" s="17" t="str">
        <x:v>TJHSST Founders Initiative lists von Maltzahn as Class of 1998; one older secondary list gives 1999, noted as a conflict.</x:v>
      </x:c>
      <x:c r="G62" s="17" t="str">
        <x:v>https://www.tjhsst.network/alumni</x:v>
      </x:c>
      <x:c r="H62" s="17" t="str">
        <x:v>Lila Sciences</x:v>
      </x:c>
      <x:c r="I62" s="17" t="str">
        <x:v>https://www.lila.ai/</x:v>
      </x:c>
      <x:c r="J62" s="17" t="str">
        <x:v>Co-founder and CEO</x:v>
      </x:c>
      <x:c r="K62" s="17" t="n">
        <x:v>2023</x:v>
      </x:c>
      <x:c r="L62" s="17" t="str">
        <x:v>Active</x:v>
      </x:c>
      <x:c r="M62" s="17" t="str">
        <x:v>Artificial Intelligence</x:v>
      </x:c>
      <x:c r="N62" s="17" t="str">
        <x:v>Scientific discovery</x:v>
      </x:c>
      <x:c r="O62" s="17" t="str">
        <x:v>AI science platform building autonomous laboratories.</x:v>
      </x:c>
      <x:c r="P62" s="17" t="str">
        <x:v>Cambridge, MA</x:v>
      </x:c>
      <x:c r="Q62" s="17" t="str">
        <x:v>Yes</x:v>
      </x:c>
      <x:c r="R62" s="17" t="str">
        <x:v>Unknown</x:v>
      </x:c>
      <x:c r="S62" s="17" t="str">
        <x:v>Private financing</x:v>
      </x:c>
      <x:c r="T62" s="17" t="str">
        <x:v>Flagship Pioneering; others</x:v>
      </x:c>
      <x:c r="U62" s="17" t="str">
        <x:v>Flagship Pioneering</x:v>
      </x:c>
      <x:c r="V62" s="17" t="str">
        <x:v>None known</x:v>
      </x:c>
      <x:c r="W62" s="17" t="str">
        <x:v>Unknown</x:v>
      </x:c>
      <x:c r="X62" s="17" t="str">
        <x:v>Unknown</x:v>
      </x:c>
      <x:c r="Y62" s="17" t="str">
        <x:v>Unknown</x:v>
      </x:c>
      <x:c r="Z62" s="17" t="str">
        <x:v>Unknown</x:v>
      </x:c>
      <x:c r="AA62" s="17" t="str">
        <x:v>Unknown</x:v>
      </x:c>
      <x:c r="AB62" s="17" t="str">
        <x:v>Unknown</x:v>
      </x:c>
      <x:c r="AC62" s="17" t="str">
        <x:v>MIT’s 2026 commencement biography identifies von Maltzahn as founder/co-founder of these companies.</x:v>
      </x:c>
      <x:c r="AD62" s="17" t="str">
        <x:v>https://commencement.mit.edu/sites/default/files/c26-SOE-SCC-program-final.pdf</x:v>
      </x:c>
      <x:c r="AE62" s="17" t="str">
        <x:v>Unknown</x:v>
      </x:c>
      <x:c r="AF62" s="17" t="str">
        <x:v>TJHSST founder directory</x:v>
      </x:c>
      <x:c r="AG62" s="17" t="str">
        <x:v>TJHSST Founders Initiative</x:v>
      </x:c>
      <x:c r="AH62" s="17" t="str">
        <x:v>https://www.tjhsst.network/alumni</x:v>
      </x:c>
      <x:c r="AI62" s="18" t="n">
        <x:v>5</x:v>
      </x:c>
      <x:c r="AJ62" s="17" t="str">
        <x:v>Graduation-year conflict: current TJHSST Founders Initiative says 1998; an older copied alumni list says 1999.</x:v>
      </x:c>
      <x:c r="AK62" s="17" t="str">
        <x:v>MIT</x:v>
      </x:c>
    </x:row>
    <x:row r="63" ht="44" customHeight="1">
      <x:c r="A63" s="17" t="str">
        <x:v>Charlie Wu</x:v>
      </x:c>
      <x:c r="B63" s="17" t="str">
        <x:v>Charlie</x:v>
      </x:c>
      <x:c r="C63" s="17" t="str">
        <x:v>Wu</x:v>
      </x:c>
      <x:c r="D63" s="18" t="str">
        <x:v>2021</x:v>
      </x:c>
      <x:c r="E63" s="17" t="str">
        <x:v>Confirmed</x:v>
      </x:c>
      <x:c r="F63" s="17" t="str">
        <x:v>TJHSST Founders Initiative lists Wu as Class of 2021.</x:v>
      </x:c>
      <x:c r="G63" s="17" t="str">
        <x:v>https://www.tjhsst.network/alumni</x:v>
      </x:c>
      <x:c r="H63" s="17" t="str">
        <x:v>Orchard Robotics</x:v>
      </x:c>
      <x:c r="I63" s="17" t="str">
        <x:v>https://www.orchard-robotics.com/</x:v>
      </x:c>
      <x:c r="J63" s="17" t="str">
        <x:v>Founder and CEO</x:v>
      </x:c>
      <x:c r="K63" s="17" t="n">
        <x:v>2022</x:v>
      </x:c>
      <x:c r="L63" s="17" t="str">
        <x:v>Active</x:v>
      </x:c>
      <x:c r="M63" s="17" t="str">
        <x:v>Robotics</x:v>
      </x:c>
      <x:c r="N63" s="17" t="str">
        <x:v>Agricultural robotics</x:v>
      </x:c>
      <x:c r="O63" s="17" t="str">
        <x:v>Computer-vision and robotic systems for precision orchard management.</x:v>
      </x:c>
      <x:c r="P63" s="17" t="str">
        <x:v>Seattle, WA</x:v>
      </x:c>
      <x:c r="Q63" s="17" t="str">
        <x:v>Yes</x:v>
      </x:c>
      <x:c r="R63" s="17" t="str">
        <x:v>More than $25M publicly announced</x:v>
      </x:c>
      <x:c r="S63" s="17" t="str">
        <x:v>Series A ($22M, 2026)</x:v>
      </x:c>
      <x:c r="T63" s="17" t="str">
        <x:v>Quiet Capital; Shine Capital; General Catalyst; Contrary; Mythos; Howard Lerman</x:v>
      </x:c>
      <x:c r="U63" s="17" t="str">
        <x:v>Unknown</x:v>
      </x:c>
      <x:c r="V63" s="17" t="str">
        <x:v>None known</x:v>
      </x:c>
      <x:c r="W63" s="17" t="str">
        <x:v>Unknown</x:v>
      </x:c>
      <x:c r="X63" s="17" t="str">
        <x:v>Unknown</x:v>
      </x:c>
      <x:c r="Y63" s="17" t="str">
        <x:v>Unknown</x:v>
      </x:c>
      <x:c r="Z63" s="17" t="str">
        <x:v>Unknown</x:v>
      </x:c>
      <x:c r="AA63" s="17" t="str">
        <x:v>Unknown</x:v>
      </x:c>
      <x:c r="AB63" s="17" t="str">
        <x:v>Unknown</x:v>
      </x:c>
      <x:c r="AC63" s="17" t="str">
        <x:v>TJ founder profile and financing announcement identify Wu as founder/CEO.</x:v>
      </x:c>
      <x:c r="AD63" s="17" t="str">
        <x:v>https://www.tjhsst.network/news/orchard-robotics-series-a</x:v>
      </x:c>
      <x:c r="AE63" s="17" t="str">
        <x:v>Unknown</x:v>
      </x:c>
      <x:c r="AF63" s="17" t="str">
        <x:v>TJHSST founder directory</x:v>
      </x:c>
      <x:c r="AG63" s="17" t="str">
        <x:v>TJHSST Founders Initiative</x:v>
      </x:c>
      <x:c r="AH63" s="17" t="str">
        <x:v>https://www.tjhsst.network/alumni</x:v>
      </x:c>
      <x:c r="AI63" s="18" t="n">
        <x:v>5</x:v>
      </x:c>
      <x:c r="AJ63" s="17" t="str">
        <x:v>Unknown</x:v>
      </x:c>
      <x:c r="AK63" s="17" t="str">
        <x:v>Cornell University</x:v>
      </x:c>
    </x:row>
    <x:row r="64" ht="44" customHeight="1">
      <x:c r="A64" s="17" t="str">
        <x:v>Sathvik Redrouthu</x:v>
      </x:c>
      <x:c r="B64" s="17" t="str">
        <x:v>Sathvik</x:v>
      </x:c>
      <x:c r="C64" s="17" t="str">
        <x:v>Redrouthu</x:v>
      </x:c>
      <x:c r="D64" s="18" t="str"/>
      <x:c r="E64" s="17" t="str">
        <x:v>Unknown</x:v>
      </x:c>
      <x:c r="F64" s="17" t="str">
        <x:v>TJHSST Founders Initiative identifies Redrouthu as a TJ alumnus; no graduation year was located.</x:v>
      </x:c>
      <x:c r="G64" s="17" t="str">
        <x:v>https://www.tjhsst.network/alumni</x:v>
      </x:c>
      <x:c r="H64" s="17" t="str">
        <x:v>Instachip</x:v>
      </x:c>
      <x:c r="I64" s="17" t="str">
        <x:v>https://www.instachip.ai/</x:v>
      </x:c>
      <x:c r="J64" s="17" t="str">
        <x:v>Co-founder</x:v>
      </x:c>
      <x:c r="K64" s="17" t="n">
        <x:v>2024</x:v>
      </x:c>
      <x:c r="L64" s="17" t="str">
        <x:v>Active</x:v>
      </x:c>
      <x:c r="M64" s="17" t="str">
        <x:v>Semiconductors</x:v>
      </x:c>
      <x:c r="N64" s="17" t="str">
        <x:v>AI chip design</x:v>
      </x:c>
      <x:c r="O64" s="17" t="str">
        <x:v>AI-assisted chip-design software company.</x:v>
      </x:c>
      <x:c r="P64" s="17" t="str">
        <x:v>San Francisco, CA</x:v>
      </x:c>
      <x:c r="Q64" s="17" t="str">
        <x:v>Yes</x:v>
      </x:c>
      <x:c r="R64" s="17" t="str">
        <x:v>Unknown</x:v>
      </x:c>
      <x:c r="S64" s="17" t="str">
        <x:v>YC W25</x:v>
      </x:c>
      <x:c r="T64" s="17" t="str">
        <x:v>Y Combinator</x:v>
      </x:c>
      <x:c r="U64" s="17" t="str">
        <x:v>Y Combinator W25</x:v>
      </x:c>
      <x:c r="V64" s="17" t="str">
        <x:v>None known</x:v>
      </x:c>
      <x:c r="W64" s="17" t="str">
        <x:v>Unknown</x:v>
      </x:c>
      <x:c r="X64" s="17" t="str">
        <x:v>Unknown</x:v>
      </x:c>
      <x:c r="Y64" s="17" t="str">
        <x:v>Unknown</x:v>
      </x:c>
      <x:c r="Z64" s="17" t="str">
        <x:v>Unknown</x:v>
      </x:c>
      <x:c r="AA64" s="17" t="str">
        <x:v>https://sathvikr.com/</x:v>
      </x:c>
      <x:c r="AB64" s="17" t="str">
        <x:v>Unknown</x:v>
      </x:c>
      <x:c r="AC64" s="17" t="str">
        <x:v>Redrouthu’s personal website and company materials identify him as co-founder.</x:v>
      </x:c>
      <x:c r="AD64" s="17" t="str">
        <x:v>https://sathvikr.com/</x:v>
      </x:c>
      <x:c r="AE64" s="17" t="str">
        <x:v>Unknown</x:v>
      </x:c>
      <x:c r="AF64" s="17" t="str">
        <x:v>TJHSST founder directory</x:v>
      </x:c>
      <x:c r="AG64" s="17" t="str">
        <x:v>TJHSST Founders Initiative</x:v>
      </x:c>
      <x:c r="AH64" s="17" t="str">
        <x:v>https://www.tjhsst.network/alumni</x:v>
      </x:c>
      <x:c r="AI64" s="18" t="n">
        <x:v>4</x:v>
      </x:c>
      <x:c r="AJ64" s="17" t="str">
        <x:v>Unknown</x:v>
      </x:c>
      <x:c r="AK64" s="17" t="str">
        <x:v>University of Virginia</x:v>
      </x:c>
    </x:row>
    <x:row r="65" ht="44" customHeight="1">
      <x:c r="A65" s="17" t="str">
        <x:v>Darius Kazemi</x:v>
      </x:c>
      <x:c r="B65" s="17" t="str">
        <x:v>Darius</x:v>
      </x:c>
      <x:c r="C65" s="17" t="str">
        <x:v>Kazemi</x:v>
      </x:c>
      <x:c r="D65" s="18" t="str"/>
      <x:c r="E65" s="17" t="str">
        <x:v>Unknown</x:v>
      </x:c>
      <x:c r="F65" s="17" t="str">
        <x:v>TJHSST Founders Initiative and public biographies identify Kazemi as a TJ alumnus; no reliable year was located.</x:v>
      </x:c>
      <x:c r="G65" s="17" t="str">
        <x:v>https://www.tjhsst.network/alumni</x:v>
      </x:c>
      <x:c r="H65" s="17" t="str">
        <x:v>Feel Train</x:v>
      </x:c>
      <x:c r="I65" s="17" t="str">
        <x:v>https://feeltrain.com/</x:v>
      </x:c>
      <x:c r="J65" s="17" t="str">
        <x:v>Co-founder</x:v>
      </x:c>
      <x:c r="K65" s="17" t="n">
        <x:v>2015</x:v>
      </x:c>
      <x:c r="L65" s="17" t="str">
        <x:v>Dormant</x:v>
      </x:c>
      <x:c r="M65" s="17" t="str">
        <x:v>Media</x:v>
      </x:c>
      <x:c r="N65" s="17" t="str">
        <x:v>Creative technology studio</x:v>
      </x:c>
      <x:c r="O65" s="17" t="str">
        <x:v>Creative technology studio known for bots, games and social-media experiences.</x:v>
      </x:c>
      <x:c r="P65" s="17" t="str">
        <x:v>Portland, OR</x:v>
      </x:c>
      <x:c r="Q65" s="17" t="str">
        <x:v>Bootstrapped</x:v>
      </x:c>
      <x:c r="R65" s="17" t="str">
        <x:v>Unknown</x:v>
      </x:c>
      <x:c r="S65" s="17" t="str">
        <x:v>Unknown</x:v>
      </x:c>
      <x:c r="T65" s="17" t="str">
        <x:v>Unknown</x:v>
      </x:c>
      <x:c r="U65" s="17" t="str">
        <x:v>None</x:v>
      </x:c>
      <x:c r="V65" s="17" t="str">
        <x:v>Operations wound down / dormant</x:v>
      </x:c>
      <x:c r="W65" s="17" t="str">
        <x:v>Unknown</x:v>
      </x:c>
      <x:c r="X65" s="17" t="str">
        <x:v>Unknown</x:v>
      </x:c>
      <x:c r="Y65" s="17" t="str">
        <x:v>Former founder</x:v>
      </x:c>
      <x:c r="Z65" s="17" t="str">
        <x:v>Unknown</x:v>
      </x:c>
      <x:c r="AA65" s="17" t="str">
        <x:v>https://tinysubversions.com/</x:v>
      </x:c>
      <x:c r="AB65" s="17" t="str">
        <x:v>Unknown</x:v>
      </x:c>
      <x:c r="AC65" s="17" t="str">
        <x:v>Public biographies identify Kazemi as a Feel Train co-founder.</x:v>
      </x:c>
      <x:c r="AD65" s="17" t="str">
        <x:v>https://en.wikipedia.org/wiki/Darius_Kazemi</x:v>
      </x:c>
      <x:c r="AE65" s="17" t="str">
        <x:v>Unknown</x:v>
      </x:c>
      <x:c r="AF65" s="17" t="str">
        <x:v>TJHSST founder directory</x:v>
      </x:c>
      <x:c r="AG65" s="17" t="str">
        <x:v>TJHSST Founders Initiative</x:v>
      </x:c>
      <x:c r="AH65" s="17" t="str">
        <x:v>https://www.tjhsst.network/alumni</x:v>
      </x:c>
      <x:c r="AI65" s="18" t="n">
        <x:v>3</x:v>
      </x:c>
      <x:c r="AJ65" s="17" t="str">
        <x:v>Unknown</x:v>
      </x:c>
      <x:c r="AK65" s="17" t="str">
        <x:v>Worcester Polytechnic Institute</x:v>
      </x:c>
    </x:row>
    <x:row r="66" ht="44" customHeight="1">
      <x:c r="A66" s="17" t="str">
        <x:v>Sophia Kianni</x:v>
      </x:c>
      <x:c r="B66" s="17" t="str">
        <x:v>Sophia</x:v>
      </x:c>
      <x:c r="C66" s="17" t="str">
        <x:v>Kianni</x:v>
      </x:c>
      <x:c r="D66" s="18" t="str">
        <x:v>2020</x:v>
      </x:c>
      <x:c r="E66" s="17" t="str">
        <x:v>Confirmed</x:v>
      </x:c>
      <x:c r="F66" s="17" t="str">
        <x:v>Her public TJ alumni-panel post and TJHSST founder materials identify Kianni as Class of 2020.</x:v>
      </x:c>
      <x:c r="G66" s="17" t="str">
        <x:v>https://www.linkedin.com/posts/sophiakianni_so-excited-for-the-tjhsst-alumni-panel-today-activity-7404916228353466368-xL0c</x:v>
      </x:c>
      <x:c r="H66" s="17" t="str">
        <x:v>Climate Cardinals</x:v>
      </x:c>
      <x:c r="I66" s="17" t="str">
        <x:v>https://www.climatecardinals.org/</x:v>
      </x:c>
      <x:c r="J66" s="17" t="str">
        <x:v>Founder and executive director</x:v>
      </x:c>
      <x:c r="K66" s="17" t="n">
        <x:v>2020</x:v>
      </x:c>
      <x:c r="L66" s="17" t="str">
        <x:v>Active</x:v>
      </x:c>
      <x:c r="M66" s="17" t="str">
        <x:v>Nonprofit</x:v>
      </x:c>
      <x:c r="N66" s="17" t="str">
        <x:v>Climate communication</x:v>
      </x:c>
      <x:c r="O66" s="17" t="str">
        <x:v>Youth-led nonprofit translating climate information into many languages.</x:v>
      </x:c>
      <x:c r="P66" s="17" t="str">
        <x:v>Washington, DC</x:v>
      </x:c>
      <x:c r="Q66" s="17" t="str">
        <x:v>No</x:v>
      </x:c>
      <x:c r="R66" s="17" t="str">
        <x:v>Unknown</x:v>
      </x:c>
      <x:c r="S66" s="17" t="str">
        <x:v>Philanthropic support</x:v>
      </x:c>
      <x:c r="T66" s="17" t="str">
        <x:v>Google.org; Schmidt Futures; others</x:v>
      </x:c>
      <x:c r="U66" s="17" t="str">
        <x:v>Unknown</x:v>
      </x:c>
      <x:c r="V66" s="17" t="str">
        <x:v>None known</x:v>
      </x:c>
      <x:c r="W66" s="17" t="str">
        <x:v>Unknown</x:v>
      </x:c>
      <x:c r="X66" s="17" t="str">
        <x:v>Unknown</x:v>
      </x:c>
      <x:c r="Y66" s="17" t="str">
        <x:v>Unknown</x:v>
      </x:c>
      <x:c r="Z66" s="17" t="str">
        <x:v>https://www.linkedin.com/in/sophiakianni</x:v>
      </x:c>
      <x:c r="AA66" s="17" t="str">
        <x:v>Unknown</x:v>
      </x:c>
      <x:c r="AB66" s="17" t="str">
        <x:v>Unknown</x:v>
      </x:c>
      <x:c r="AC66" s="17" t="str">
        <x:v>Climate Cardinals’ official team page identifies Kianni as founder.</x:v>
      </x:c>
      <x:c r="AD66" s="17" t="str">
        <x:v>https://www.climatecardinals.org/our-people</x:v>
      </x:c>
      <x:c r="AE66" s="17" t="str">
        <x:v>Unknown</x:v>
      </x:c>
      <x:c r="AF66" s="17" t="str">
        <x:v>Chappy Asel social-hub search</x:v>
      </x:c>
      <x:c r="AG66" s="17" t="str">
        <x:v>Chappy Asel LinkedIn panel post</x:v>
      </x:c>
      <x:c r="AH66" s="17" t="str">
        <x:v>https://www.linkedin.com/posts/chappyasel_thrilled-to-be-moderating-a-powerhouse-tjhsst-activity-7402354519331946496-OvYa</x:v>
      </x:c>
      <x:c r="AI66" s="18" t="n">
        <x:v>5</x:v>
      </x:c>
      <x:c r="AJ66" s="17" t="str">
        <x:v>Unknown</x:v>
      </x:c>
      <x:c r="AK66" s="17" t="str">
        <x:v>Stanford University</x:v>
      </x:c>
    </x:row>
    <x:row r="67" ht="44" customHeight="1">
      <x:c r="A67" s="17" t="str">
        <x:v>Sophia Kianni</x:v>
      </x:c>
      <x:c r="B67" s="17" t="str">
        <x:v>Sophia</x:v>
      </x:c>
      <x:c r="C67" s="17" t="str">
        <x:v>Kianni</x:v>
      </x:c>
      <x:c r="D67" s="18" t="str">
        <x:v>2020</x:v>
      </x:c>
      <x:c r="E67" s="17" t="str">
        <x:v>Confirmed</x:v>
      </x:c>
      <x:c r="F67" s="17" t="str">
        <x:v>Her public TJ alumni-panel post and TJHSST founder materials identify Kianni as Class of 2020.</x:v>
      </x:c>
      <x:c r="G67" s="17" t="str">
        <x:v>https://www.linkedin.com/posts/sophiakianni_so-excited-for-the-tjhsst-alumni-panel-today-activity-7404916228353466368-xL0c</x:v>
      </x:c>
      <x:c r="H67" s="17" t="str">
        <x:v>Phia</x:v>
      </x:c>
      <x:c r="I67" s="17" t="str">
        <x:v>https://phia.com/</x:v>
      </x:c>
      <x:c r="J67" s="17" t="str">
        <x:v>Co-founder</x:v>
      </x:c>
      <x:c r="K67" s="17" t="n">
        <x:v>2024</x:v>
      </x:c>
      <x:c r="L67" s="17" t="str">
        <x:v>Active</x:v>
      </x:c>
      <x:c r="M67" s="17" t="str">
        <x:v>Consumer</x:v>
      </x:c>
      <x:c r="N67" s="17" t="str">
        <x:v>AI shopping assistant</x:v>
      </x:c>
      <x:c r="O67" s="17" t="str">
        <x:v>AI-powered shopping and price-comparison assistant.</x:v>
      </x:c>
      <x:c r="P67" s="17" t="str">
        <x:v>New York, NY</x:v>
      </x:c>
      <x:c r="Q67" s="17" t="str">
        <x:v>Yes</x:v>
      </x:c>
      <x:c r="R67" s="17" t="str">
        <x:v>More than $43M publicly announced</x:v>
      </x:c>
      <x:c r="S67" s="17" t="str">
        <x:v>Series A ($35M, 2026)</x:v>
      </x:c>
      <x:c r="T67" s="17" t="str">
        <x:v>Notable Capital; Khosla Ventures; Kleiner Perkins; others</x:v>
      </x:c>
      <x:c r="U67" s="17" t="str">
        <x:v>Unknown</x:v>
      </x:c>
      <x:c r="V67" s="17" t="str">
        <x:v>None known</x:v>
      </x:c>
      <x:c r="W67" s="17" t="str">
        <x:v>Unknown</x:v>
      </x:c>
      <x:c r="X67" s="17" t="str">
        <x:v>Unknown</x:v>
      </x:c>
      <x:c r="Y67" s="17" t="str">
        <x:v>Unknown</x:v>
      </x:c>
      <x:c r="Z67" s="17" t="str">
        <x:v>https://www.linkedin.com/in/sophiakianni</x:v>
      </x:c>
      <x:c r="AA67" s="17" t="str">
        <x:v>Unknown</x:v>
      </x:c>
      <x:c r="AB67" s="17" t="str">
        <x:v>Unknown</x:v>
      </x:c>
      <x:c r="AC67" s="17" t="str">
        <x:v>Company financing announcement identifies Kianni as co-founder.</x:v>
      </x:c>
      <x:c r="AD67" s="17" t="str">
        <x:v>https://www.globenewswire.com/news-release/2026/01/27/3226762/0/en/Phia-Raises-35-Million-Series-A-Led-by-Notable-Capital.html</x:v>
      </x:c>
      <x:c r="AE67" s="17" t="str">
        <x:v>Unknown</x:v>
      </x:c>
      <x:c r="AF67" s="17" t="str">
        <x:v>Chappy Asel social-hub search</x:v>
      </x:c>
      <x:c r="AG67" s="17" t="str">
        <x:v>Chappy Asel LinkedIn panel post</x:v>
      </x:c>
      <x:c r="AH67" s="17" t="str">
        <x:v>https://www.linkedin.com/posts/chappyasel_thrilled-to-be-moderating-a-powerhouse-tjhsst-activity-7402354519331946496-OvYa</x:v>
      </x:c>
      <x:c r="AI67" s="18" t="n">
        <x:v>5</x:v>
      </x:c>
      <x:c r="AJ67" s="17" t="str">
        <x:v>Unknown</x:v>
      </x:c>
      <x:c r="AK67" s="17" t="str">
        <x:v>Stanford University</x:v>
      </x:c>
    </x:row>
    <x:row r="68" ht="44" customHeight="1">
      <x:c r="A68" s="17" t="str">
        <x:v>Kavya Kopparapu</x:v>
      </x:c>
      <x:c r="B68" s="17" t="str">
        <x:v>Kavya</x:v>
      </x:c>
      <x:c r="C68" s="17" t="str">
        <x:v>Kopparapu</x:v>
      </x:c>
      <x:c r="D68" s="18" t="str">
        <x:v>2018</x:v>
      </x:c>
      <x:c r="E68" s="17" t="str">
        <x:v>Strongly inferred</x:v>
      </x:c>
      <x:c r="F68" s="17" t="str">
        <x:v>TJHSST founder materials identify Kopparapu as an alumna; the 2018 year is supported by contemporaneous student coverage and college timeline.</x:v>
      </x:c>
      <x:c r="G68" s="17" t="str">
        <x:v>https://www.tjhsst.network/alumni</x:v>
      </x:c>
      <x:c r="H68" s="17" t="str">
        <x:v>Girls Computing League</x:v>
      </x:c>
      <x:c r="I68" s="17" t="str">
        <x:v>https://girlscomputingleague.org/</x:v>
      </x:c>
      <x:c r="J68" s="17" t="str">
        <x:v>Founder and chair</x:v>
      </x:c>
      <x:c r="K68" s="17" t="n">
        <x:v>2015</x:v>
      </x:c>
      <x:c r="L68" s="17" t="str">
        <x:v>Active</x:v>
      </x:c>
      <x:c r="M68" s="17" t="str">
        <x:v>Nonprofit</x:v>
      </x:c>
      <x:c r="N68" s="17" t="str">
        <x:v>Computer-science education</x:v>
      </x:c>
      <x:c r="O68" s="17" t="str">
        <x:v>Nonprofit expanding access to computer-science education.</x:v>
      </x:c>
      <x:c r="P68" s="17" t="str">
        <x:v>Fairfax, VA</x:v>
      </x:c>
      <x:c r="Q68" s="17" t="str">
        <x:v>No</x:v>
      </x:c>
      <x:c r="R68" s="17" t="str">
        <x:v>Unknown</x:v>
      </x:c>
      <x:c r="S68" s="17" t="str">
        <x:v>Grants and donations</x:v>
      </x:c>
      <x:c r="T68" s="17" t="str">
        <x:v>Unknown</x:v>
      </x:c>
      <x:c r="U68" s="17" t="str">
        <x:v>Unknown</x:v>
      </x:c>
      <x:c r="V68" s="17" t="str">
        <x:v>None known</x:v>
      </x:c>
      <x:c r="W68" s="17" t="str">
        <x:v>Unknown</x:v>
      </x:c>
      <x:c r="X68" s="17" t="str">
        <x:v>Unknown</x:v>
      </x:c>
      <x:c r="Y68" s="17" t="str">
        <x:v>Unknown</x:v>
      </x:c>
      <x:c r="Z68" s="17" t="str">
        <x:v>Unknown</x:v>
      </x:c>
      <x:c r="AA68" s="17" t="str">
        <x:v>Unknown</x:v>
      </x:c>
      <x:c r="AB68" s="17" t="str">
        <x:v>Unknown</x:v>
      </x:c>
      <x:c r="AC68" s="17" t="str">
        <x:v>Organization materials identify Kopparapu as founder.</x:v>
      </x:c>
      <x:c r="AD68" s="17" t="str">
        <x:v>https://girlscomputingleague.org/about</x:v>
      </x:c>
      <x:c r="AE68" s="17" t="str">
        <x:v>Unknown</x:v>
      </x:c>
      <x:c r="AF68" s="17" t="str">
        <x:v>TJHSST founder directory</x:v>
      </x:c>
      <x:c r="AG68" s="17" t="str">
        <x:v>TJHSST Founders Initiative</x:v>
      </x:c>
      <x:c r="AH68" s="17" t="str">
        <x:v>https://www.tjhsst.network/alumni</x:v>
      </x:c>
      <x:c r="AI68" s="18" t="n">
        <x:v>4</x:v>
      </x:c>
      <x:c r="AJ68" s="17" t="str">
        <x:v>Unknown</x:v>
      </x:c>
      <x:c r="AK68" s="17" t="str">
        <x:v>Harvard University</x:v>
      </x:c>
    </x:row>
    <x:row r="69" ht="44" customHeight="1">
      <x:c r="A69" s="17" t="str">
        <x:v>Danny Lee</x:v>
      </x:c>
      <x:c r="B69" s="17" t="str">
        <x:v>Danny</x:v>
      </x:c>
      <x:c r="C69" s="17" t="str">
        <x:v>Lee</x:v>
      </x:c>
      <x:c r="D69" s="18" t="str">
        <x:v>1999</x:v>
      </x:c>
      <x:c r="E69" s="17" t="str">
        <x:v>Confirmed</x:v>
      </x:c>
      <x:c r="F69" s="17" t="str">
        <x:v>TJHSST Founders Initiative lists Lee as Class of 1999.</x:v>
      </x:c>
      <x:c r="G69" s="17" t="str">
        <x:v>https://www.tjhsst.network/alumni</x:v>
      </x:c>
      <x:c r="H69" s="17" t="str">
        <x:v>Mandu</x:v>
      </x:c>
      <x:c r="I69" s="17" t="str">
        <x:v>https://www.mandudc.com/</x:v>
      </x:c>
      <x:c r="J69" s="17" t="str">
        <x:v>Co-founder / founding partner</x:v>
      </x:c>
      <x:c r="K69" s="17" t="n">
        <x:v>2006</x:v>
      </x:c>
      <x:c r="L69" s="17" t="str">
        <x:v>Active</x:v>
      </x:c>
      <x:c r="M69" s="17" t="str">
        <x:v>Other</x:v>
      </x:c>
      <x:c r="N69" s="17" t="str">
        <x:v>Restaurant</x:v>
      </x:c>
      <x:c r="O69" s="17" t="str">
        <x:v>Korean restaurant group in Washington, D.C.</x:v>
      </x:c>
      <x:c r="P69" s="17" t="str">
        <x:v>Washington, DC</x:v>
      </x:c>
      <x:c r="Q69" s="17" t="str">
        <x:v>Bootstrapped</x:v>
      </x:c>
      <x:c r="R69" s="17" t="str">
        <x:v>Unknown</x:v>
      </x:c>
      <x:c r="S69" s="17" t="str">
        <x:v>Unknown</x:v>
      </x:c>
      <x:c r="T69" s="17" t="str">
        <x:v>Unknown</x:v>
      </x:c>
      <x:c r="U69" s="17" t="str">
        <x:v>None</x:v>
      </x:c>
      <x:c r="V69" s="17" t="str">
        <x:v>None known</x:v>
      </x:c>
      <x:c r="W69" s="17" t="str">
        <x:v>Unknown</x:v>
      </x:c>
      <x:c r="X69" s="17" t="str">
        <x:v>Unknown</x:v>
      </x:c>
      <x:c r="Y69" s="17" t="str">
        <x:v>Unknown</x:v>
      </x:c>
      <x:c r="Z69" s="17" t="str">
        <x:v>Unknown</x:v>
      </x:c>
      <x:c r="AA69" s="17" t="str">
        <x:v>Unknown</x:v>
      </x:c>
      <x:c r="AB69" s="17" t="str">
        <x:v>Unknown</x:v>
      </x:c>
      <x:c r="AC69" s="17" t="str">
        <x:v>Chef and restaurant-group biographies identify Lee as founder or founding partner.</x:v>
      </x:c>
      <x:c r="AD69" s="17" t="str">
        <x:v>https://hawaiifoodandwinefestival.com/talent/danny-lee/</x:v>
      </x:c>
      <x:c r="AE69" s="17" t="str">
        <x:v>Unknown</x:v>
      </x:c>
      <x:c r="AF69" s="17" t="str">
        <x:v>TJHSST founder directory</x:v>
      </x:c>
      <x:c r="AG69" s="17" t="str">
        <x:v>TJHSST Founders Initiative</x:v>
      </x:c>
      <x:c r="AH69" s="17" t="str">
        <x:v>https://www.tjhsst.network/alumni</x:v>
      </x:c>
      <x:c r="AI69" s="18" t="n">
        <x:v>4</x:v>
      </x:c>
      <x:c r="AJ69" s="17" t="str">
        <x:v>Unknown</x:v>
      </x:c>
      <x:c r="AK69" s="17" t="str">
        <x:v>University of Virginia</x:v>
      </x:c>
    </x:row>
    <x:row r="70" ht="44" customHeight="1">
      <x:c r="A70" s="17" t="str">
        <x:v>Danny Lee</x:v>
      </x:c>
      <x:c r="B70" s="17" t="str">
        <x:v>Danny</x:v>
      </x:c>
      <x:c r="C70" s="17" t="str">
        <x:v>Lee</x:v>
      </x:c>
      <x:c r="D70" s="18" t="str">
        <x:v>1999</x:v>
      </x:c>
      <x:c r="E70" s="17" t="str">
        <x:v>Confirmed</x:v>
      </x:c>
      <x:c r="F70" s="17" t="str">
        <x:v>TJHSST Founders Initiative lists Lee as Class of 1999.</x:v>
      </x:c>
      <x:c r="G70" s="17" t="str">
        <x:v>https://www.tjhsst.network/alumni</x:v>
      </x:c>
      <x:c r="H70" s="17" t="str">
        <x:v>CHIKO</x:v>
      </x:c>
      <x:c r="I70" s="17" t="str">
        <x:v>https://www.chikodc.com/</x:v>
      </x:c>
      <x:c r="J70" s="17" t="str">
        <x:v>Co-founder / founding partner</x:v>
      </x:c>
      <x:c r="K70" s="17" t="n">
        <x:v>2017</x:v>
      </x:c>
      <x:c r="L70" s="17" t="str">
        <x:v>Active</x:v>
      </x:c>
      <x:c r="M70" s="17" t="str">
        <x:v>Other</x:v>
      </x:c>
      <x:c r="N70" s="17" t="str">
        <x:v>Restaurant</x:v>
      </x:c>
      <x:c r="O70" s="17" t="str">
        <x:v>Chinese-Korean restaurant concept founded by restaurant partners Danny Lee, Scott Drewno and Andrew Kim.</x:v>
      </x:c>
      <x:c r="P70" s="17" t="str">
        <x:v>Washington, DC</x:v>
      </x:c>
      <x:c r="Q70" s="17" t="str">
        <x:v>Bootstrapped</x:v>
      </x:c>
      <x:c r="R70" s="17" t="str">
        <x:v>Unknown</x:v>
      </x:c>
      <x:c r="S70" s="17" t="str">
        <x:v>Unknown</x:v>
      </x:c>
      <x:c r="T70" s="17" t="str">
        <x:v>Unknown</x:v>
      </x:c>
      <x:c r="U70" s="17" t="str">
        <x:v>None</x:v>
      </x:c>
      <x:c r="V70" s="17" t="str">
        <x:v>None known</x:v>
      </x:c>
      <x:c r="W70" s="17" t="str">
        <x:v>Unknown</x:v>
      </x:c>
      <x:c r="X70" s="17" t="str">
        <x:v>Unknown</x:v>
      </x:c>
      <x:c r="Y70" s="17" t="str">
        <x:v>Unknown</x:v>
      </x:c>
      <x:c r="Z70" s="17" t="str">
        <x:v>Unknown</x:v>
      </x:c>
      <x:c r="AA70" s="17" t="str">
        <x:v>Unknown</x:v>
      </x:c>
      <x:c r="AB70" s="17" t="str">
        <x:v>Unknown</x:v>
      </x:c>
      <x:c r="AC70" s="17" t="str">
        <x:v>Chef and restaurant-group biographies identify Lee as founder or founding partner.</x:v>
      </x:c>
      <x:c r="AD70" s="17" t="str">
        <x:v>https://hawaiifoodandwinefestival.com/talent/danny-lee/</x:v>
      </x:c>
      <x:c r="AE70" s="17" t="str">
        <x:v>Unknown</x:v>
      </x:c>
      <x:c r="AF70" s="17" t="str">
        <x:v>TJHSST founder directory</x:v>
      </x:c>
      <x:c r="AG70" s="17" t="str">
        <x:v>TJHSST Founders Initiative</x:v>
      </x:c>
      <x:c r="AH70" s="17" t="str">
        <x:v>https://www.tjhsst.network/alumni</x:v>
      </x:c>
      <x:c r="AI70" s="18" t="n">
        <x:v>4</x:v>
      </x:c>
      <x:c r="AJ70" s="17" t="str">
        <x:v>Unknown</x:v>
      </x:c>
      <x:c r="AK70" s="17" t="str">
        <x:v>University of Virginia</x:v>
      </x:c>
    </x:row>
    <x:row r="71" ht="44" customHeight="1">
      <x:c r="A71" s="17" t="str">
        <x:v>Danny Lee</x:v>
      </x:c>
      <x:c r="B71" s="17" t="str">
        <x:v>Danny</x:v>
      </x:c>
      <x:c r="C71" s="17" t="str">
        <x:v>Lee</x:v>
      </x:c>
      <x:c r="D71" s="18" t="str">
        <x:v>1999</x:v>
      </x:c>
      <x:c r="E71" s="17" t="str">
        <x:v>Confirmed</x:v>
      </x:c>
      <x:c r="F71" s="17" t="str">
        <x:v>TJHSST Founders Initiative lists Lee as Class of 1999.</x:v>
      </x:c>
      <x:c r="G71" s="17" t="str">
        <x:v>https://www.tjhsst.network/alumni</x:v>
      </x:c>
      <x:c r="H71" s="17" t="str">
        <x:v>Anju</x:v>
      </x:c>
      <x:c r="I71" s="17" t="str">
        <x:v>https://www.anjurestaurant.com/</x:v>
      </x:c>
      <x:c r="J71" s="17" t="str">
        <x:v>Co-founder / founding partner</x:v>
      </x:c>
      <x:c r="K71" s="17" t="n">
        <x:v>2019</x:v>
      </x:c>
      <x:c r="L71" s="17" t="str">
        <x:v>Active</x:v>
      </x:c>
      <x:c r="M71" s="17" t="str">
        <x:v>Other</x:v>
      </x:c>
      <x:c r="N71" s="17" t="str">
        <x:v>Restaurant</x:v>
      </x:c>
      <x:c r="O71" s="17" t="str">
        <x:v>Modern Korean restaurant in Washington, D.C.</x:v>
      </x:c>
      <x:c r="P71" s="17" t="str">
        <x:v>Washington, DC</x:v>
      </x:c>
      <x:c r="Q71" s="17" t="str">
        <x:v>Bootstrapped</x:v>
      </x:c>
      <x:c r="R71" s="17" t="str">
        <x:v>Unknown</x:v>
      </x:c>
      <x:c r="S71" s="17" t="str">
        <x:v>Unknown</x:v>
      </x:c>
      <x:c r="T71" s="17" t="str">
        <x:v>Unknown</x:v>
      </x:c>
      <x:c r="U71" s="17" t="str">
        <x:v>None</x:v>
      </x:c>
      <x:c r="V71" s="17" t="str">
        <x:v>None known</x:v>
      </x:c>
      <x:c r="W71" s="17" t="str">
        <x:v>Unknown</x:v>
      </x:c>
      <x:c r="X71" s="17" t="str">
        <x:v>Unknown</x:v>
      </x:c>
      <x:c r="Y71" s="17" t="str">
        <x:v>Unknown</x:v>
      </x:c>
      <x:c r="Z71" s="17" t="str">
        <x:v>Unknown</x:v>
      </x:c>
      <x:c r="AA71" s="17" t="str">
        <x:v>Unknown</x:v>
      </x:c>
      <x:c r="AB71" s="17" t="str">
        <x:v>Unknown</x:v>
      </x:c>
      <x:c r="AC71" s="17" t="str">
        <x:v>Chef and restaurant-group biographies identify Lee as founder or founding partner.</x:v>
      </x:c>
      <x:c r="AD71" s="17" t="str">
        <x:v>https://hawaiifoodandwinefestival.com/talent/danny-lee/</x:v>
      </x:c>
      <x:c r="AE71" s="17" t="str">
        <x:v>Unknown</x:v>
      </x:c>
      <x:c r="AF71" s="17" t="str">
        <x:v>TJHSST founder directory</x:v>
      </x:c>
      <x:c r="AG71" s="17" t="str">
        <x:v>TJHSST Founders Initiative</x:v>
      </x:c>
      <x:c r="AH71" s="17" t="str">
        <x:v>https://www.tjhsst.network/alumni</x:v>
      </x:c>
      <x:c r="AI71" s="18" t="n">
        <x:v>4</x:v>
      </x:c>
      <x:c r="AJ71" s="17" t="str">
        <x:v>Unknown</x:v>
      </x:c>
      <x:c r="AK71" s="17" t="str">
        <x:v>University of Virginia</x:v>
      </x:c>
    </x:row>
    <x:row r="72" ht="44" customHeight="1">
      <x:c r="A72" s="17" t="str">
        <x:v>David Rosenthal</x:v>
      </x:c>
      <x:c r="B72" s="17" t="str">
        <x:v>David</x:v>
      </x:c>
      <x:c r="C72" s="17" t="str">
        <x:v>Rosenthal</x:v>
      </x:c>
      <x:c r="D72" s="18" t="str"/>
      <x:c r="E72" s="17" t="str">
        <x:v>Unknown</x:v>
      </x:c>
      <x:c r="F72" s="17" t="str">
        <x:v>The Washington Post explicitly identifies Rosenthal as a TJ alumnus.</x:v>
      </x:c>
      <x:c r="G72" s="17" t="str">
        <x:v>https://www.washingtonpost.com/business/economy/value-added-computer-skills-lead-tj-alum-to-found-his-own-company/2012/03/09/gIQAosDt5R_story.html</x:v>
      </x:c>
      <x:c r="H72" s="17" t="str">
        <x:v>FoundationDB</x:v>
      </x:c>
      <x:c r="I72" s="17" t="str">
        <x:v>https://www.foundationdb.org/</x:v>
      </x:c>
      <x:c r="J72" s="17" t="str">
        <x:v>Co-founder and CEO</x:v>
      </x:c>
      <x:c r="K72" s="17" t="n">
        <x:v>2009</x:v>
      </x:c>
      <x:c r="L72" s="17" t="str">
        <x:v>Acquired</x:v>
      </x:c>
      <x:c r="M72" s="17" t="str">
        <x:v>Data Infrastructure</x:v>
      </x:c>
      <x:c r="N72" s="17" t="str">
        <x:v>Distributed database</x:v>
      </x:c>
      <x:c r="O72" s="17" t="str">
        <x:v>Distributed database company whose technology was acquired and open-sourced by Apple.</x:v>
      </x:c>
      <x:c r="P72" s="17" t="str">
        <x:v>Vienna, VA</x:v>
      </x:c>
      <x:c r="Q72" s="17" t="str">
        <x:v>Yes</x:v>
      </x:c>
      <x:c r="R72" s="17" t="str">
        <x:v>Approximately $22.7M publicly reported</x:v>
      </x:c>
      <x:c r="S72" s="17" t="str">
        <x:v>Series A / venture financing</x:v>
      </x:c>
      <x:c r="T72" s="17" t="str">
        <x:v>Sutter Hill Ventures; CrunchFund; others</x:v>
      </x:c>
      <x:c r="U72" s="17" t="str">
        <x:v>Unknown</x:v>
      </x:c>
      <x:c r="V72" s="17" t="str">
        <x:v>Acquired</x:v>
      </x:c>
      <x:c r="W72" s="17" t="str">
        <x:v>Apple</x:v>
      </x:c>
      <x:c r="X72" s="17" t="n">
        <x:v>2015</x:v>
      </x:c>
      <x:c r="Y72" s="17" t="str">
        <x:v>Former founder</x:v>
      </x:c>
      <x:c r="Z72" s="17" t="str">
        <x:v>Unknown</x:v>
      </x:c>
      <x:c r="AA72" s="17" t="str">
        <x:v>Unknown</x:v>
      </x:c>
      <x:c r="AB72" s="17" t="str">
        <x:v>Unknown</x:v>
      </x:c>
      <x:c r="AC72" s="17" t="str">
        <x:v>Washington Post founder profile identifies Rosenthal as founder/CEO.</x:v>
      </x:c>
      <x:c r="AD72" s="17" t="str">
        <x:v>https://www.washingtonpost.com/business/economy/value-added-computer-skills-lead-tj-alum-to-found-his-own-company/2012/03/09/gIQAosDt5R_story.html</x:v>
      </x:c>
      <x:c r="AE72" s="17" t="str">
        <x:v>Unknown</x:v>
      </x:c>
      <x:c r="AF72" s="17" t="str">
        <x:v>Historical-company search</x:v>
      </x:c>
      <x:c r="AG72" s="17" t="str">
        <x:v>Washington Post TJ founder profile</x:v>
      </x:c>
      <x:c r="AH72" s="17" t="str">
        <x:v>https://www.washingtonpost.com/business/economy/value-added-computer-skills-lead-tj-alum-to-found-his-own-company/2012/03/09/gIQAosDt5R_story.html</x:v>
      </x:c>
      <x:c r="AI72" s="18" t="n">
        <x:v>5</x:v>
      </x:c>
      <x:c r="AJ72" s="17" t="str">
        <x:v>Unknown</x:v>
      </x:c>
      <x:c r="AK72" s="17" t="str">
        <x:v>Unknown</x:v>
      </x:c>
    </x:row>
    <x:row r="73" ht="44" customHeight="1">
      <x:c r="A73" s="17" t="str">
        <x:v>David Scherer</x:v>
      </x:c>
      <x:c r="B73" s="17" t="str">
        <x:v>David</x:v>
      </x:c>
      <x:c r="C73" s="17" t="str">
        <x:v>Scherer</x:v>
      </x:c>
      <x:c r="D73" s="18" t="str"/>
      <x:c r="E73" s="17" t="str">
        <x:v>Unknown</x:v>
      </x:c>
      <x:c r="F73" s="17" t="str">
        <x:v>The Washington Post describes Scherer as Rosenthal’s TJ classmate/co-founder; no public graduation year was located.</x:v>
      </x:c>
      <x:c r="G73" s="17" t="str">
        <x:v>https://www.washingtonpost.com/business/economy/value-added-computer-skills-lead-tj-alum-to-found-his-own-company/2012/03/09/gIQAosDt5R_story.html</x:v>
      </x:c>
      <x:c r="H73" s="17" t="str">
        <x:v>FoundationDB</x:v>
      </x:c>
      <x:c r="I73" s="17" t="str">
        <x:v>https://www.foundationdb.org/</x:v>
      </x:c>
      <x:c r="J73" s="17" t="str">
        <x:v>Co-founder</x:v>
      </x:c>
      <x:c r="K73" s="17" t="n">
        <x:v>2009</x:v>
      </x:c>
      <x:c r="L73" s="17" t="str">
        <x:v>Acquired</x:v>
      </x:c>
      <x:c r="M73" s="17" t="str">
        <x:v>Data Infrastructure</x:v>
      </x:c>
      <x:c r="N73" s="17" t="str">
        <x:v>Distributed database</x:v>
      </x:c>
      <x:c r="O73" s="17" t="str">
        <x:v>Distributed database company whose technology was acquired and open-sourced by Apple.</x:v>
      </x:c>
      <x:c r="P73" s="17" t="str">
        <x:v>Vienna, VA</x:v>
      </x:c>
      <x:c r="Q73" s="17" t="str">
        <x:v>Yes</x:v>
      </x:c>
      <x:c r="R73" s="17" t="str">
        <x:v>Approximately $22.7M publicly reported</x:v>
      </x:c>
      <x:c r="S73" s="17" t="str">
        <x:v>Series A / venture financing</x:v>
      </x:c>
      <x:c r="T73" s="17" t="str">
        <x:v>Sutter Hill Ventures; CrunchFund; others</x:v>
      </x:c>
      <x:c r="U73" s="17" t="str">
        <x:v>Unknown</x:v>
      </x:c>
      <x:c r="V73" s="17" t="str">
        <x:v>Acquired</x:v>
      </x:c>
      <x:c r="W73" s="17" t="str">
        <x:v>Apple</x:v>
      </x:c>
      <x:c r="X73" s="17" t="n">
        <x:v>2015</x:v>
      </x:c>
      <x:c r="Y73" s="17" t="str">
        <x:v>Former founder</x:v>
      </x:c>
      <x:c r="Z73" s="17" t="str">
        <x:v>Unknown</x:v>
      </x:c>
      <x:c r="AA73" s="17" t="str">
        <x:v>Unknown</x:v>
      </x:c>
      <x:c r="AB73" s="17" t="str">
        <x:v>Unknown</x:v>
      </x:c>
      <x:c r="AC73" s="17" t="str">
        <x:v>Founder biography identifies Scherer as FoundationDB co-founder.</x:v>
      </x:c>
      <x:c r="AD73" s="17" t="str">
        <x:v>https://wellfound.com/p/david-scherer</x:v>
      </x:c>
      <x:c r="AE73" s="17" t="str">
        <x:v>Unknown</x:v>
      </x:c>
      <x:c r="AF73" s="17" t="str">
        <x:v>Recursive founder-network expansion</x:v>
      </x:c>
      <x:c r="AG73" s="17" t="str">
        <x:v>David Rosenthal network expansion</x:v>
      </x:c>
      <x:c r="AH73" s="17" t="str">
        <x:v>https://wellfound.com/p/david-scherer</x:v>
      </x:c>
      <x:c r="AI73" s="18" t="n">
        <x:v>4</x:v>
      </x:c>
      <x:c r="AJ73" s="17" t="str">
        <x:v>Unknown</x:v>
      </x:c>
      <x:c r="AK73" s="17" t="str">
        <x:v>Unknown</x:v>
      </x:c>
    </x:row>
    <x:row r="74" ht="44" customHeight="1">
      <x:c r="A74" s="17" t="str">
        <x:v>David Scherer</x:v>
      </x:c>
      <x:c r="B74" s="17" t="str">
        <x:v>David</x:v>
      </x:c>
      <x:c r="C74" s="17" t="str">
        <x:v>Scherer</x:v>
      </x:c>
      <x:c r="D74" s="18" t="str"/>
      <x:c r="E74" s="17" t="str">
        <x:v>Unknown</x:v>
      </x:c>
      <x:c r="F74" s="17" t="str">
        <x:v>The Washington Post describes Scherer as Rosenthal’s TJ classmate/co-founder; no public graduation year was located.</x:v>
      </x:c>
      <x:c r="G74" s="17" t="str">
        <x:v>https://www.washingtonpost.com/business/economy/value-added-computer-skills-lead-tj-alum-to-found-his-own-company/2012/03/09/gIQAosDt5R_story.html</x:v>
      </x:c>
      <x:c r="H74" s="17" t="str">
        <x:v>Visual Sciences</x:v>
      </x:c>
      <x:c r="I74" s="17" t="str">
        <x:v>Unknown</x:v>
      </x:c>
      <x:c r="J74" s="17" t="str">
        <x:v>Co-founder</x:v>
      </x:c>
      <x:c r="K74" s="17" t="n">
        <x:v>1996</x:v>
      </x:c>
      <x:c r="L74" s="17" t="str">
        <x:v>Acquired</x:v>
      </x:c>
      <x:c r="M74" s="17" t="str">
        <x:v>Data Infrastructure</x:v>
      </x:c>
      <x:c r="N74" s="17" t="str">
        <x:v>Web analytics</x:v>
      </x:c>
      <x:c r="O74" s="17" t="str">
        <x:v>Web-analytics software company previously known as WebSideStory.</x:v>
      </x:c>
      <x:c r="P74" s="17" t="str">
        <x:v>San Diego, CA</x:v>
      </x:c>
      <x:c r="Q74" s="17" t="str">
        <x:v>Yes</x:v>
      </x:c>
      <x:c r="R74" s="17" t="str">
        <x:v>Unknown</x:v>
      </x:c>
      <x:c r="S74" s="17" t="str">
        <x:v>Public / acquisition</x:v>
      </x:c>
      <x:c r="T74" s="17" t="str">
        <x:v>Unknown</x:v>
      </x:c>
      <x:c r="U74" s="17" t="str">
        <x:v>None</x:v>
      </x:c>
      <x:c r="V74" s="17" t="str">
        <x:v>Acquired</x:v>
      </x:c>
      <x:c r="W74" s="17" t="str">
        <x:v>Omniture</x:v>
      </x:c>
      <x:c r="X74" s="17" t="n">
        <x:v>2007</x:v>
      </x:c>
      <x:c r="Y74" s="17" t="str">
        <x:v>Former founder</x:v>
      </x:c>
      <x:c r="Z74" s="17" t="str">
        <x:v>Unknown</x:v>
      </x:c>
      <x:c r="AA74" s="17" t="str">
        <x:v>Unknown</x:v>
      </x:c>
      <x:c r="AB74" s="17" t="str">
        <x:v>Unknown</x:v>
      </x:c>
      <x:c r="AC74" s="17" t="str">
        <x:v>Founder biography identifies Scherer as Visual Sciences co-founder.</x:v>
      </x:c>
      <x:c r="AD74" s="17" t="str">
        <x:v>https://wellfound.com/p/david-scherer</x:v>
      </x:c>
      <x:c r="AE74" s="17" t="str">
        <x:v>Unknown</x:v>
      </x:c>
      <x:c r="AF74" s="17" t="str">
        <x:v>Recursive founder-network expansion</x:v>
      </x:c>
      <x:c r="AG74" s="17" t="str">
        <x:v>David Rosenthal network expansion</x:v>
      </x:c>
      <x:c r="AH74" s="17" t="str">
        <x:v>https://wellfound.com/p/david-scherer</x:v>
      </x:c>
      <x:c r="AI74" s="18" t="n">
        <x:v>4</x:v>
      </x:c>
      <x:c r="AJ74" s="17" t="str">
        <x:v>Unknown</x:v>
      </x:c>
      <x:c r="AK74" s="17" t="str">
        <x:v>Unknown</x:v>
      </x:c>
    </x:row>
    <x:row r="75" ht="44" customHeight="1">
      <x:c r="A75" s="17" t="str">
        <x:v>Brian Tubergen</x:v>
      </x:c>
      <x:c r="B75" s="17" t="str">
        <x:v>Brian</x:v>
      </x:c>
      <x:c r="C75" s="17" t="str">
        <x:v>Tubergen</x:v>
      </x:c>
      <x:c r="D75" s="18" t="str">
        <x:v>2009</x:v>
      </x:c>
      <x:c r="E75" s="17" t="str">
        <x:v>Confirmed</x:v>
      </x:c>
      <x:c r="F75" s="17" t="str">
        <x:v>An FCPS/TJ alumni newsletter identifies Tubergen as TJHSST Class of 2009.</x:v>
      </x:c>
      <x:c r="G75" s="17" t="str">
        <x:v>https://content.govdelivery.com/accounts/VAEDUFCPS/bulletins/2b3f060</x:v>
      </x:c>
      <x:c r="H75" s="17" t="str">
        <x:v>CoinList</x:v>
      </x:c>
      <x:c r="I75" s="17" t="str">
        <x:v>https://coinlist.co/</x:v>
      </x:c>
      <x:c r="J75" s="17" t="str">
        <x:v>Co-founder</x:v>
      </x:c>
      <x:c r="K75" s="17" t="n">
        <x:v>2017</x:v>
      </x:c>
      <x:c r="L75" s="17" t="str">
        <x:v>Active</x:v>
      </x:c>
      <x:c r="M75" s="17" t="str">
        <x:v>Fintech</x:v>
      </x:c>
      <x:c r="N75" s="17" t="str">
        <x:v>Digital-asset platform</x:v>
      </x:c>
      <x:c r="O75" s="17" t="str">
        <x:v>Platform for token launches, trading and services for digital assets.</x:v>
      </x:c>
      <x:c r="P75" s="17" t="str">
        <x:v>San Francisco, CA</x:v>
      </x:c>
      <x:c r="Q75" s="17" t="str">
        <x:v>Yes</x:v>
      </x:c>
      <x:c r="R75" s="17" t="str">
        <x:v>At least $109.2M publicly announced</x:v>
      </x:c>
      <x:c r="S75" s="17" t="str">
        <x:v>Series A ($100M, 2021)</x:v>
      </x:c>
      <x:c r="T75" s="17" t="str">
        <x:v>Accomplice; Agman Partners; Digital Currency Group; others</x:v>
      </x:c>
      <x:c r="U75" s="17" t="str">
        <x:v>Unknown</x:v>
      </x:c>
      <x:c r="V75" s="17" t="str">
        <x:v>None known</x:v>
      </x:c>
      <x:c r="W75" s="17" t="str">
        <x:v>Unknown</x:v>
      </x:c>
      <x:c r="X75" s="17" t="str">
        <x:v>Unknown</x:v>
      </x:c>
      <x:c r="Y75" s="17" t="str">
        <x:v>Unknown</x:v>
      </x:c>
      <x:c r="Z75" s="17" t="str">
        <x:v>Unknown</x:v>
      </x:c>
      <x:c r="AA75" s="17" t="str">
        <x:v>Unknown</x:v>
      </x:c>
      <x:c r="AB75" s="17" t="str">
        <x:v>Unknown</x:v>
      </x:c>
      <x:c r="AC75" s="17" t="str">
        <x:v>Princeton entrepreneurship materials identify Tubergen as CoinList co-founder.</x:v>
      </x:c>
      <x:c r="AD75" s="17" t="str">
        <x:v>https://entrepreneurs.princeton.edu/sites/g/files/toruqf151/files/2019-11/nyctec19_program-final.pdf</x:v>
      </x:c>
      <x:c r="AE75" s="17" t="str">
        <x:v>Unknown</x:v>
      </x:c>
      <x:c r="AF75" s="17" t="str">
        <x:v>TJ/FCPS alumni publication</x:v>
      </x:c>
      <x:c r="AG75" s="17" t="str">
        <x:v>FCPS alumni newsletter</x:v>
      </x:c>
      <x:c r="AH75" s="17" t="str">
        <x:v>https://content.govdelivery.com/accounts/VAEDUFCPS/bulletins/2b3f060</x:v>
      </x:c>
      <x:c r="AI75" s="18" t="n">
        <x:v>5</x:v>
      </x:c>
      <x:c r="AJ75" s="17" t="str">
        <x:v>Unknown</x:v>
      </x:c>
      <x:c r="AK75" s="17" t="str">
        <x:v>Princeton University</x:v>
      </x:c>
    </x:row>
    <x:row r="76" ht="44" customHeight="1">
      <x:c r="A76" s="17" t="str">
        <x:v>Daniel Shin</x:v>
      </x:c>
      <x:c r="B76" s="17" t="str">
        <x:v>Daniel</x:v>
      </x:c>
      <x:c r="C76" s="17" t="str">
        <x:v>Shin</x:v>
      </x:c>
      <x:c r="D76" s="18" t="str">
        <x:v>2004</x:v>
      </x:c>
      <x:c r="E76" s="17" t="str">
        <x:v>Confirmed</x:v>
      </x:c>
      <x:c r="F76" s="17" t="str">
        <x:v>Public biographies and school alumni references identify Shin as a 2004 TJHSST graduate.</x:v>
      </x:c>
      <x:c r="G76" s="17" t="str">
        <x:v>https://en.wikipedia.org/wiki/Daniel_Shin</x:v>
      </x:c>
      <x:c r="H76" s="17" t="str">
        <x:v>Invite Media</x:v>
      </x:c>
      <x:c r="I76" s="17" t="str">
        <x:v>Unknown</x:v>
      </x:c>
      <x:c r="J76" s="17" t="str">
        <x:v>Co-founder</x:v>
      </x:c>
      <x:c r="K76" s="17" t="n">
        <x:v>2007</x:v>
      </x:c>
      <x:c r="L76" s="17" t="str">
        <x:v>Acquired</x:v>
      </x:c>
      <x:c r="M76" s="17" t="str">
        <x:v>Media</x:v>
      </x:c>
      <x:c r="N76" s="17" t="str">
        <x:v>Demand-side advertising</x:v>
      </x:c>
      <x:c r="O76" s="17" t="str">
        <x:v>Demand-side advertising platform acquired by Google.</x:v>
      </x:c>
      <x:c r="P76" s="17" t="str">
        <x:v>New York, NY</x:v>
      </x:c>
      <x:c r="Q76" s="17" t="str">
        <x:v>Yes</x:v>
      </x:c>
      <x:c r="R76" s="17" t="str">
        <x:v>Unknown</x:v>
      </x:c>
      <x:c r="S76" s="17" t="str">
        <x:v>Venture financing</x:v>
      </x:c>
      <x:c r="T76" s="17" t="str">
        <x:v>First Round Capital; Comcast Ventures; others</x:v>
      </x:c>
      <x:c r="U76" s="17" t="str">
        <x:v>Unknown</x:v>
      </x:c>
      <x:c r="V76" s="17" t="str">
        <x:v>Acquired</x:v>
      </x:c>
      <x:c r="W76" s="17" t="str">
        <x:v>Google</x:v>
      </x:c>
      <x:c r="X76" s="17" t="n">
        <x:v>2010</x:v>
      </x:c>
      <x:c r="Y76" s="17" t="str">
        <x:v>Former founder</x:v>
      </x:c>
      <x:c r="Z76" s="17" t="str">
        <x:v>Unknown</x:v>
      </x:c>
      <x:c r="AA76" s="17" t="str">
        <x:v>Unknown</x:v>
      </x:c>
      <x:c r="AB76" s="17" t="str">
        <x:v>Unknown</x:v>
      </x:c>
      <x:c r="AC76" s="17" t="str">
        <x:v>Wharton and company histories identify Shin as founder/co-founder.</x:v>
      </x:c>
      <x:c r="AD76" s="17" t="str">
        <x:v>https://magazine.wharton.upenn.edu/daniel-shin-c08-w08/</x:v>
      </x:c>
      <x:c r="AE76" s="17" t="str">
        <x:v>https://en.wikipedia.org/wiki/Daniel_Shin</x:v>
      </x:c>
      <x:c r="AF76" s="17" t="str">
        <x:v>Historical-company search</x:v>
      </x:c>
      <x:c r="AG76" s="17" t="str">
        <x:v>TJHSST alumni biography</x:v>
      </x:c>
      <x:c r="AH76" s="17" t="str">
        <x:v>https://magazine.wharton.upenn.edu/daniel-shin-c08-w08/</x:v>
      </x:c>
      <x:c r="AI76" s="18" t="n">
        <x:v>4</x:v>
      </x:c>
      <x:c r="AJ76" s="17" t="str">
        <x:v>Unknown</x:v>
      </x:c>
      <x:c r="AK76" s="17" t="str">
        <x:v>University of Pennsylvania</x:v>
      </x:c>
    </x:row>
    <x:row r="77" ht="44" customHeight="1">
      <x:c r="A77" s="17" t="str">
        <x:v>Daniel Shin</x:v>
      </x:c>
      <x:c r="B77" s="17" t="str">
        <x:v>Daniel</x:v>
      </x:c>
      <x:c r="C77" s="17" t="str">
        <x:v>Shin</x:v>
      </x:c>
      <x:c r="D77" s="18" t="str">
        <x:v>2004</x:v>
      </x:c>
      <x:c r="E77" s="17" t="str">
        <x:v>Confirmed</x:v>
      </x:c>
      <x:c r="F77" s="17" t="str">
        <x:v>Public biographies and school alumni references identify Shin as a 2004 TJHSST graduate.</x:v>
      </x:c>
      <x:c r="G77" s="17" t="str">
        <x:v>https://en.wikipedia.org/wiki/Daniel_Shin</x:v>
      </x:c>
      <x:c r="H77" s="17" t="str">
        <x:v>Ticket Monster</x:v>
      </x:c>
      <x:c r="I77" s="17" t="str">
        <x:v>Unknown</x:v>
      </x:c>
      <x:c r="J77" s="17" t="str">
        <x:v>Co-founder</x:v>
      </x:c>
      <x:c r="K77" s="17" t="n">
        <x:v>2010</x:v>
      </x:c>
      <x:c r="L77" s="17" t="str">
        <x:v>Acquired</x:v>
      </x:c>
      <x:c r="M77" s="17" t="str">
        <x:v>E-commerce</x:v>
      </x:c>
      <x:c r="N77" s="17" t="str">
        <x:v>Daily deals</x:v>
      </x:c>
      <x:c r="O77" s="17" t="str">
        <x:v>South Korean daily-deals and e-commerce company.</x:v>
      </x:c>
      <x:c r="P77" s="17" t="str">
        <x:v>Seoul, South Korea</x:v>
      </x:c>
      <x:c r="Q77" s="17" t="str">
        <x:v>Yes</x:v>
      </x:c>
      <x:c r="R77" s="17" t="str">
        <x:v>At least $115M publicly announced</x:v>
      </x:c>
      <x:c r="S77" s="17" t="str">
        <x:v>Private financing</x:v>
      </x:c>
      <x:c r="T77" s="17" t="str">
        <x:v>Kohlberg Kravis Roberts; Canada Pension Plan Investment Board; others</x:v>
      </x:c>
      <x:c r="U77" s="17" t="str">
        <x:v>Unknown</x:v>
      </x:c>
      <x:c r="V77" s="17" t="str">
        <x:v>Acquired for a reported $260M</x:v>
      </x:c>
      <x:c r="W77" s="17" t="str">
        <x:v>Groupon</x:v>
      </x:c>
      <x:c r="X77" s="17" t="n">
        <x:v>2014</x:v>
      </x:c>
      <x:c r="Y77" s="17" t="str">
        <x:v>Former founder</x:v>
      </x:c>
      <x:c r="Z77" s="17" t="str">
        <x:v>Unknown</x:v>
      </x:c>
      <x:c r="AA77" s="17" t="str">
        <x:v>Unknown</x:v>
      </x:c>
      <x:c r="AB77" s="17" t="str">
        <x:v>Unknown</x:v>
      </x:c>
      <x:c r="AC77" s="17" t="str">
        <x:v>Wharton and company histories identify Shin as founder/co-founder.</x:v>
      </x:c>
      <x:c r="AD77" s="17" t="str">
        <x:v>https://magazine.wharton.upenn.edu/daniel-shin-c08-w08/</x:v>
      </x:c>
      <x:c r="AE77" s="17" t="str">
        <x:v>https://en.wikipedia.org/wiki/Daniel_Shin</x:v>
      </x:c>
      <x:c r="AF77" s="17" t="str">
        <x:v>Historical-company search</x:v>
      </x:c>
      <x:c r="AG77" s="17" t="str">
        <x:v>TJHSST alumni biography</x:v>
      </x:c>
      <x:c r="AH77" s="17" t="str">
        <x:v>https://magazine.wharton.upenn.edu/daniel-shin-c08-w08/</x:v>
      </x:c>
      <x:c r="AI77" s="18" t="n">
        <x:v>4</x:v>
      </x:c>
      <x:c r="AJ77" s="17" t="str">
        <x:v>Unknown</x:v>
      </x:c>
      <x:c r="AK77" s="17" t="str">
        <x:v>University of Pennsylvania</x:v>
      </x:c>
    </x:row>
    <x:row r="78" ht="44" customHeight="1">
      <x:c r="A78" s="17" t="str">
        <x:v>Daniel Shin</x:v>
      </x:c>
      <x:c r="B78" s="17" t="str">
        <x:v>Daniel</x:v>
      </x:c>
      <x:c r="C78" s="17" t="str">
        <x:v>Shin</x:v>
      </x:c>
      <x:c r="D78" s="18" t="str">
        <x:v>2004</x:v>
      </x:c>
      <x:c r="E78" s="17" t="str">
        <x:v>Confirmed</x:v>
      </x:c>
      <x:c r="F78" s="17" t="str">
        <x:v>Public biographies and school alumni references identify Shin as a 2004 TJHSST graduate.</x:v>
      </x:c>
      <x:c r="G78" s="17" t="str">
        <x:v>https://en.wikipedia.org/wiki/Daniel_Shin</x:v>
      </x:c>
      <x:c r="H78" s="17" t="str">
        <x:v>Fast Track Asia</x:v>
      </x:c>
      <x:c r="I78" s="17" t="str">
        <x:v>Unknown</x:v>
      </x:c>
      <x:c r="J78" s="17" t="str">
        <x:v>Co-founder</x:v>
      </x:c>
      <x:c r="K78" s="17" t="n">
        <x:v>2012</x:v>
      </x:c>
      <x:c r="L78" s="17" t="str">
        <x:v>Active</x:v>
      </x:c>
      <x:c r="M78" s="17" t="str">
        <x:v>Venture Capital</x:v>
      </x:c>
      <x:c r="N78" s="17" t="str">
        <x:v>Startup studio</x:v>
      </x:c>
      <x:c r="O78" s="17" t="str">
        <x:v>Asian startup studio and company builder.</x:v>
      </x:c>
      <x:c r="P78" s="17" t="str">
        <x:v>Seoul, South Korea</x:v>
      </x:c>
      <x:c r="Q78" s="17" t="str">
        <x:v>Yes</x:v>
      </x:c>
      <x:c r="R78" s="17" t="str">
        <x:v>Unknown</x:v>
      </x:c>
      <x:c r="S78" s="17" t="str">
        <x:v>Unknown</x:v>
      </x:c>
      <x:c r="T78" s="17" t="str">
        <x:v>Unknown</x:v>
      </x:c>
      <x:c r="U78" s="17" t="str">
        <x:v>Unknown</x:v>
      </x:c>
      <x:c r="V78" s="17" t="str">
        <x:v>None known</x:v>
      </x:c>
      <x:c r="W78" s="17" t="str">
        <x:v>Unknown</x:v>
      </x:c>
      <x:c r="X78" s="17" t="str">
        <x:v>Unknown</x:v>
      </x:c>
      <x:c r="Y78" s="17" t="str">
        <x:v>Unknown</x:v>
      </x:c>
      <x:c r="Z78" s="17" t="str">
        <x:v>Unknown</x:v>
      </x:c>
      <x:c r="AA78" s="17" t="str">
        <x:v>Unknown</x:v>
      </x:c>
      <x:c r="AB78" s="17" t="str">
        <x:v>Unknown</x:v>
      </x:c>
      <x:c r="AC78" s="17" t="str">
        <x:v>Wharton and company histories identify Shin as founder/co-founder.</x:v>
      </x:c>
      <x:c r="AD78" s="17" t="str">
        <x:v>https://magazine.wharton.upenn.edu/daniel-shin-c08-w08/</x:v>
      </x:c>
      <x:c r="AE78" s="17" t="str">
        <x:v>https://en.wikipedia.org/wiki/Daniel_Shin</x:v>
      </x:c>
      <x:c r="AF78" s="17" t="str">
        <x:v>Historical-company search</x:v>
      </x:c>
      <x:c r="AG78" s="17" t="str">
        <x:v>TJHSST alumni biography</x:v>
      </x:c>
      <x:c r="AH78" s="17" t="str">
        <x:v>https://magazine.wharton.upenn.edu/daniel-shin-c08-w08/</x:v>
      </x:c>
      <x:c r="AI78" s="18" t="n">
        <x:v>4</x:v>
      </x:c>
      <x:c r="AJ78" s="17" t="str">
        <x:v>Unknown</x:v>
      </x:c>
      <x:c r="AK78" s="17" t="str">
        <x:v>University of Pennsylvania</x:v>
      </x:c>
    </x:row>
    <x:row r="79" ht="44" customHeight="1">
      <x:c r="A79" s="17" t="str">
        <x:v>Daniel Shin</x:v>
      </x:c>
      <x:c r="B79" s="17" t="str">
        <x:v>Daniel</x:v>
      </x:c>
      <x:c r="C79" s="17" t="str">
        <x:v>Shin</x:v>
      </x:c>
      <x:c r="D79" s="18" t="str">
        <x:v>2004</x:v>
      </x:c>
      <x:c r="E79" s="17" t="str">
        <x:v>Confirmed</x:v>
      </x:c>
      <x:c r="F79" s="17" t="str">
        <x:v>Public biographies and school alumni references identify Shin as a 2004 TJHSST graduate.</x:v>
      </x:c>
      <x:c r="G79" s="17" t="str">
        <x:v>https://en.wikipedia.org/wiki/Daniel_Shin</x:v>
      </x:c>
      <x:c r="H79" s="17" t="str">
        <x:v>Bass Investment</x:v>
      </x:c>
      <x:c r="I79" s="17" t="str">
        <x:v>Unknown</x:v>
      </x:c>
      <x:c r="J79" s="17" t="str">
        <x:v>Co-founder</x:v>
      </x:c>
      <x:c r="K79" s="17" t="n">
        <x:v>2018</x:v>
      </x:c>
      <x:c r="L79" s="17" t="str">
        <x:v>Active</x:v>
      </x:c>
      <x:c r="M79" s="17" t="str">
        <x:v>Venture Capital</x:v>
      </x:c>
      <x:c r="N79" s="17" t="str">
        <x:v>Investment firm</x:v>
      </x:c>
      <x:c r="O79" s="17" t="str">
        <x:v>Technology-focused investment firm founded by Daniel Shin.</x:v>
      </x:c>
      <x:c r="P79" s="17" t="str">
        <x:v>Seoul, South Korea</x:v>
      </x:c>
      <x:c r="Q79" s="17" t="str">
        <x:v>Unknown</x:v>
      </x:c>
      <x:c r="R79" s="17" t="str">
        <x:v>Unknown</x:v>
      </x:c>
      <x:c r="S79" s="17" t="str">
        <x:v>Unknown</x:v>
      </x:c>
      <x:c r="T79" s="17" t="str">
        <x:v>Unknown</x:v>
      </x:c>
      <x:c r="U79" s="17" t="str">
        <x:v>Unknown</x:v>
      </x:c>
      <x:c r="V79" s="17" t="str">
        <x:v>None known</x:v>
      </x:c>
      <x:c r="W79" s="17" t="str">
        <x:v>Unknown</x:v>
      </x:c>
      <x:c r="X79" s="17" t="str">
        <x:v>Unknown</x:v>
      </x:c>
      <x:c r="Y79" s="17" t="str">
        <x:v>Unknown</x:v>
      </x:c>
      <x:c r="Z79" s="17" t="str">
        <x:v>Unknown</x:v>
      </x:c>
      <x:c r="AA79" s="17" t="str">
        <x:v>Unknown</x:v>
      </x:c>
      <x:c r="AB79" s="17" t="str">
        <x:v>Unknown</x:v>
      </x:c>
      <x:c r="AC79" s="17" t="str">
        <x:v>Wharton and company histories identify Shin as founder/co-founder.</x:v>
      </x:c>
      <x:c r="AD79" s="17" t="str">
        <x:v>https://magazine.wharton.upenn.edu/daniel-shin-c08-w08/</x:v>
      </x:c>
      <x:c r="AE79" s="17" t="str">
        <x:v>https://en.wikipedia.org/wiki/Daniel_Shin</x:v>
      </x:c>
      <x:c r="AF79" s="17" t="str">
        <x:v>Historical-company search</x:v>
      </x:c>
      <x:c r="AG79" s="17" t="str">
        <x:v>TJHSST alumni biography</x:v>
      </x:c>
      <x:c r="AH79" s="17" t="str">
        <x:v>https://magazine.wharton.upenn.edu/daniel-shin-c08-w08/</x:v>
      </x:c>
      <x:c r="AI79" s="18" t="n">
        <x:v>4</x:v>
      </x:c>
      <x:c r="AJ79" s="17" t="str">
        <x:v>Unknown</x:v>
      </x:c>
      <x:c r="AK79" s="17" t="str">
        <x:v>University of Pennsylvania</x:v>
      </x:c>
    </x:row>
    <x:row r="80" ht="44" customHeight="1">
      <x:c r="A80" s="17" t="str">
        <x:v>Daniel Shin</x:v>
      </x:c>
      <x:c r="B80" s="17" t="str">
        <x:v>Daniel</x:v>
      </x:c>
      <x:c r="C80" s="17" t="str">
        <x:v>Shin</x:v>
      </x:c>
      <x:c r="D80" s="18" t="str">
        <x:v>2004</x:v>
      </x:c>
      <x:c r="E80" s="17" t="str">
        <x:v>Confirmed</x:v>
      </x:c>
      <x:c r="F80" s="17" t="str">
        <x:v>Public biographies and school alumni references identify Shin as a 2004 TJHSST graduate.</x:v>
      </x:c>
      <x:c r="G80" s="17" t="str">
        <x:v>https://en.wikipedia.org/wiki/Daniel_Shin</x:v>
      </x:c>
      <x:c r="H80" s="17" t="str">
        <x:v>Terraform Labs</x:v>
      </x:c>
      <x:c r="I80" s="17" t="str">
        <x:v>Unknown</x:v>
      </x:c>
      <x:c r="J80" s="17" t="str">
        <x:v>Co-founder</x:v>
      </x:c>
      <x:c r="K80" s="17" t="n">
        <x:v>2018</x:v>
      </x:c>
      <x:c r="L80" s="17" t="str">
        <x:v>Closed</x:v>
      </x:c>
      <x:c r="M80" s="17" t="str">
        <x:v>Fintech</x:v>
      </x:c>
      <x:c r="N80" s="17" t="str">
        <x:v>Blockchain</x:v>
      </x:c>
      <x:c r="O80" s="17" t="str">
        <x:v>Blockchain company behind the Terra ecosystem.</x:v>
      </x:c>
      <x:c r="P80" s="17" t="str">
        <x:v>Singapore</x:v>
      </x:c>
      <x:c r="Q80" s="17" t="str">
        <x:v>Yes</x:v>
      </x:c>
      <x:c r="R80" s="17" t="str">
        <x:v>Unknown</x:v>
      </x:c>
      <x:c r="S80" s="17" t="str">
        <x:v>Private financing</x:v>
      </x:c>
      <x:c r="T80" s="17" t="str">
        <x:v>Arrington XRP; Galaxy Digital; Pantera; others</x:v>
      </x:c>
      <x:c r="U80" s="17" t="str">
        <x:v>Unknown</x:v>
      </x:c>
      <x:c r="V80" s="17" t="str">
        <x:v>Bankruptcy / operations wound down</x:v>
      </x:c>
      <x:c r="W80" s="17" t="str">
        <x:v>Unknown</x:v>
      </x:c>
      <x:c r="X80" s="17" t="n">
        <x:v>2024</x:v>
      </x:c>
      <x:c r="Y80" s="17" t="str">
        <x:v>Former founder</x:v>
      </x:c>
      <x:c r="Z80" s="17" t="str">
        <x:v>Unknown</x:v>
      </x:c>
      <x:c r="AA80" s="17" t="str">
        <x:v>Unknown</x:v>
      </x:c>
      <x:c r="AB80" s="17" t="str">
        <x:v>Unknown</x:v>
      </x:c>
      <x:c r="AC80" s="17" t="str">
        <x:v>Wharton and company histories identify Shin as founder/co-founder.</x:v>
      </x:c>
      <x:c r="AD80" s="17" t="str">
        <x:v>https://magazine.wharton.upenn.edu/daniel-shin-c08-w08/</x:v>
      </x:c>
      <x:c r="AE80" s="17" t="str">
        <x:v>https://en.wikipedia.org/wiki/Daniel_Shin</x:v>
      </x:c>
      <x:c r="AF80" s="17" t="str">
        <x:v>Historical-company search</x:v>
      </x:c>
      <x:c r="AG80" s="17" t="str">
        <x:v>TJHSST alumni biography</x:v>
      </x:c>
      <x:c r="AH80" s="17" t="str">
        <x:v>https://magazine.wharton.upenn.edu/daniel-shin-c08-w08/</x:v>
      </x:c>
      <x:c r="AI80" s="18" t="n">
        <x:v>4</x:v>
      </x:c>
      <x:c r="AJ80" s="17" t="str">
        <x:v>Unknown</x:v>
      </x:c>
      <x:c r="AK80" s="17" t="str">
        <x:v>University of Pennsylvania</x:v>
      </x:c>
    </x:row>
    <x:row r="81" ht="44" customHeight="1">
      <x:c r="A81" s="17" t="str">
        <x:v>Daniel Shin</x:v>
      </x:c>
      <x:c r="B81" s="17" t="str">
        <x:v>Daniel</x:v>
      </x:c>
      <x:c r="C81" s="17" t="str">
        <x:v>Shin</x:v>
      </x:c>
      <x:c r="D81" s="18" t="str">
        <x:v>2004</x:v>
      </x:c>
      <x:c r="E81" s="17" t="str">
        <x:v>Confirmed</x:v>
      </x:c>
      <x:c r="F81" s="17" t="str">
        <x:v>Public biographies and school alumni references identify Shin as a 2004 TJHSST graduate.</x:v>
      </x:c>
      <x:c r="G81" s="17" t="str">
        <x:v>https://en.wikipedia.org/wiki/Daniel_Shin</x:v>
      </x:c>
      <x:c r="H81" s="17" t="str">
        <x:v>PortOne Global (formerly CHAI)</x:v>
      </x:c>
      <x:c r="I81" s="17" t="str">
        <x:v>https://portone.io/</x:v>
      </x:c>
      <x:c r="J81" s="17" t="str">
        <x:v>Co-founder</x:v>
      </x:c>
      <x:c r="K81" s="17" t="n">
        <x:v>2018</x:v>
      </x:c>
      <x:c r="L81" s="17" t="str">
        <x:v>Active</x:v>
      </x:c>
      <x:c r="M81" s="17" t="str">
        <x:v>Fintech</x:v>
      </x:c>
      <x:c r="N81" s="17" t="str">
        <x:v>Payments infrastructure</x:v>
      </x:c>
      <x:c r="O81" s="17" t="str">
        <x:v>Payments orchestration platform that originated as CHAI.</x:v>
      </x:c>
      <x:c r="P81" s="17" t="str">
        <x:v>Seoul, South Korea</x:v>
      </x:c>
      <x:c r="Q81" s="17" t="str">
        <x:v>Yes</x:v>
      </x:c>
      <x:c r="R81" s="17" t="str">
        <x:v>Unknown</x:v>
      </x:c>
      <x:c r="S81" s="17" t="str">
        <x:v>Private financing</x:v>
      </x:c>
      <x:c r="T81" s="17" t="str">
        <x:v>Han River Partners; others</x:v>
      </x:c>
      <x:c r="U81" s="17" t="str">
        <x:v>Unknown</x:v>
      </x:c>
      <x:c r="V81" s="17" t="str">
        <x:v>None known</x:v>
      </x:c>
      <x:c r="W81" s="17" t="str">
        <x:v>Unknown</x:v>
      </x:c>
      <x:c r="X81" s="17" t="str">
        <x:v>Unknown</x:v>
      </x:c>
      <x:c r="Y81" s="17" t="str">
        <x:v>Unknown</x:v>
      </x:c>
      <x:c r="Z81" s="17" t="str">
        <x:v>Unknown</x:v>
      </x:c>
      <x:c r="AA81" s="17" t="str">
        <x:v>Unknown</x:v>
      </x:c>
      <x:c r="AB81" s="17" t="str">
        <x:v>Unknown</x:v>
      </x:c>
      <x:c r="AC81" s="17" t="str">
        <x:v>Wharton and company histories identify Shin as founder/co-founder.</x:v>
      </x:c>
      <x:c r="AD81" s="17" t="str">
        <x:v>https://magazine.wharton.upenn.edu/daniel-shin-c08-w08/</x:v>
      </x:c>
      <x:c r="AE81" s="17" t="str">
        <x:v>https://en.wikipedia.org/wiki/Daniel_Shin</x:v>
      </x:c>
      <x:c r="AF81" s="17" t="str">
        <x:v>Historical-company search</x:v>
      </x:c>
      <x:c r="AG81" s="17" t="str">
        <x:v>TJHSST alumni biography</x:v>
      </x:c>
      <x:c r="AH81" s="17" t="str">
        <x:v>https://magazine.wharton.upenn.edu/daniel-shin-c08-w08/</x:v>
      </x:c>
      <x:c r="AI81" s="18" t="n">
        <x:v>4</x:v>
      </x:c>
      <x:c r="AJ81" s="17" t="str">
        <x:v>Unknown</x:v>
      </x:c>
      <x:c r="AK81" s="17" t="str">
        <x:v>University of Pennsylvania</x:v>
      </x:c>
    </x:row>
    <x:row r="82" ht="44" customHeight="1">
      <x:c r="A82" s="17" t="str">
        <x:v>Bryan Guido Hassin</x:v>
      </x:c>
      <x:c r="B82" s="17" t="str">
        <x:v>Bryan Guido</x:v>
      </x:c>
      <x:c r="C82" s="17" t="str">
        <x:v>Hassin</x:v>
      </x:c>
      <x:c r="D82" s="18" t="str">
        <x:v>1997</x:v>
      </x:c>
      <x:c r="E82" s="17" t="str">
        <x:v>Confirmed</x:v>
      </x:c>
      <x:c r="F82" s="17" t="str">
        <x:v>Hassin’s own alumni essay states that he is TJ Class of 1997.</x:v>
      </x:c>
      <x:c r="G82" s="17" t="str">
        <x:v>https://greenknig.ht/2025/10/06/from-tj-alumni-to-climatetech-ceo-my-journey-on-the-alumni-blast-from-the-past-podcast/</x:v>
      </x:c>
      <x:c r="H82" s="17" t="str">
        <x:v>Third Derivative</x:v>
      </x:c>
      <x:c r="I82" s="17" t="str">
        <x:v>https://third-derivative.org/</x:v>
      </x:c>
      <x:c r="J82" s="17" t="str">
        <x:v>Co-founder and CEO</x:v>
      </x:c>
      <x:c r="K82" s="17" t="n">
        <x:v>2020</x:v>
      </x:c>
      <x:c r="L82" s="17" t="str">
        <x:v>Active</x:v>
      </x:c>
      <x:c r="M82" s="17" t="str">
        <x:v>Climate</x:v>
      </x:c>
      <x:c r="N82" s="17" t="str">
        <x:v>Climate-tech accelerator</x:v>
      </x:c>
      <x:c r="O82" s="17" t="str">
        <x:v>Global climate-technology accelerator and ecosystem.</x:v>
      </x:c>
      <x:c r="P82" s="17" t="str">
        <x:v>Boulder, CO</x:v>
      </x:c>
      <x:c r="Q82" s="17" t="str">
        <x:v>No</x:v>
      </x:c>
      <x:c r="R82" s="17" t="str">
        <x:v>Unknown</x:v>
      </x:c>
      <x:c r="S82" s="17" t="str">
        <x:v>Philanthropic / program funding</x:v>
      </x:c>
      <x:c r="T82" s="17" t="str">
        <x:v>RMI; New Energy Nexus; others</x:v>
      </x:c>
      <x:c r="U82" s="17" t="str">
        <x:v>Unknown</x:v>
      </x:c>
      <x:c r="V82" s="17" t="str">
        <x:v>None known</x:v>
      </x:c>
      <x:c r="W82" s="17" t="str">
        <x:v>Unknown</x:v>
      </x:c>
      <x:c r="X82" s="17" t="str">
        <x:v>Unknown</x:v>
      </x:c>
      <x:c r="Y82" s="17" t="str">
        <x:v>Unknown</x:v>
      </x:c>
      <x:c r="Z82" s="17" t="str">
        <x:v>Unknown</x:v>
      </x:c>
      <x:c r="AA82" s="17" t="str">
        <x:v>https://greenknig.ht/</x:v>
      </x:c>
      <x:c r="AB82" s="17" t="str">
        <x:v>Unknown</x:v>
      </x:c>
      <x:c r="AC82" s="17" t="str">
        <x:v>Rice biography and his own alumni essay identify Hassin as founder/CEO.</x:v>
      </x:c>
      <x:c r="AD82" s="17" t="str">
        <x:v>https://engineering.rice.edu/people/bryan-hassin</x:v>
      </x:c>
      <x:c r="AE82" s="17" t="str">
        <x:v>Unknown</x:v>
      </x:c>
      <x:c r="AF82" s="17" t="str">
        <x:v>Direct TJ founder search</x:v>
      </x:c>
      <x:c r="AG82" s="17" t="str">
        <x:v>Founder personal essay</x:v>
      </x:c>
      <x:c r="AH82" s="17" t="str">
        <x:v>https://greenknig.ht/2025/10/06/from-tj-alumni-to-climatetech-ceo-my-journey-on-the-alumni-blast-from-the-past-podcast/</x:v>
      </x:c>
      <x:c r="AI82" s="18" t="n">
        <x:v>5</x:v>
      </x:c>
      <x:c r="AJ82" s="17" t="str">
        <x:v>Unknown</x:v>
      </x:c>
      <x:c r="AK82" s="17" t="str">
        <x:v>Rice University</x:v>
      </x:c>
    </x:row>
    <x:row r="83" ht="44" customHeight="1">
      <x:c r="A83" s="17" t="str">
        <x:v>Ravi Shankar</x:v>
      </x:c>
      <x:c r="B83" s="17" t="str">
        <x:v>Ravi</x:v>
      </x:c>
      <x:c r="C83" s="17" t="str">
        <x:v>Shankar</x:v>
      </x:c>
      <x:c r="D83" s="18" t="str">
        <x:v>1992</x:v>
      </x:c>
      <x:c r="E83" s="17" t="str">
        <x:v>Confirmed</x:v>
      </x:c>
      <x:c r="F83" s="17" t="str">
        <x:v>Archived TJHSST alumni material lists Shankar as Class of 1992.</x:v>
      </x:c>
      <x:c r="G83" s="17" t="str">
        <x:v>https://levantado.ddns.net/ipfs/QmXoypizjW3WknFiJnKLwHCnL72vedxjQkDDP1mXWo6uco/wiki/Thomas_Jefferson_High_School_for_Science_and_Technology.html</x:v>
      </x:c>
      <x:c r="H83" s="17" t="str">
        <x:v>Drunken Boat</x:v>
      </x:c>
      <x:c r="I83" s="17" t="str">
        <x:v>https://drunkenboat.com/</x:v>
      </x:c>
      <x:c r="J83" s="17" t="str">
        <x:v>Founder and executive director</x:v>
      </x:c>
      <x:c r="K83" s="17" t="n">
        <x:v>2000</x:v>
      </x:c>
      <x:c r="L83" s="17" t="str">
        <x:v>Dormant</x:v>
      </x:c>
      <x:c r="M83" s="17" t="str">
        <x:v>Nonprofit</x:v>
      </x:c>
      <x:c r="N83" s="17" t="str">
        <x:v>Literary journal</x:v>
      </x:c>
      <x:c r="O83" s="17" t="str">
        <x:v>International online journal of the arts founded by Ravi Shankar.</x:v>
      </x:c>
      <x:c r="P83" s="17" t="str">
        <x:v>Unknown</x:v>
      </x:c>
      <x:c r="Q83" s="17" t="str">
        <x:v>No</x:v>
      </x:c>
      <x:c r="R83" s="17" t="str">
        <x:v>Unknown</x:v>
      </x:c>
      <x:c r="S83" s="17" t="str">
        <x:v>Grants and donations</x:v>
      </x:c>
      <x:c r="T83" s="17" t="str">
        <x:v>Unknown</x:v>
      </x:c>
      <x:c r="U83" s="17" t="str">
        <x:v>None</x:v>
      </x:c>
      <x:c r="V83" s="17" t="str">
        <x:v>Dormant / publication archived</x:v>
      </x:c>
      <x:c r="W83" s="17" t="str">
        <x:v>Unknown</x:v>
      </x:c>
      <x:c r="X83" s="17" t="str">
        <x:v>Unknown</x:v>
      </x:c>
      <x:c r="Y83" s="17" t="str">
        <x:v>Former founder</x:v>
      </x:c>
      <x:c r="Z83" s="17" t="str">
        <x:v>Unknown</x:v>
      </x:c>
      <x:c r="AA83" s="17" t="str">
        <x:v>Unknown</x:v>
      </x:c>
      <x:c r="AB83" s="17" t="str">
        <x:v>Unknown</x:v>
      </x:c>
      <x:c r="AC83" s="17" t="str">
        <x:v>The publication’s site and public biographies identify Shankar as founder.</x:v>
      </x:c>
      <x:c r="AD83" s="17" t="str">
        <x:v>https://drunkenboat.com/index.php</x:v>
      </x:c>
      <x:c r="AE83" s="17" t="str">
        <x:v>Unknown</x:v>
      </x:c>
      <x:c r="AF83" s="17" t="str">
        <x:v>Historical alumni archive</x:v>
      </x:c>
      <x:c r="AG83" s="17" t="str">
        <x:v>Archived TJHSST alumni list</x:v>
      </x:c>
      <x:c r="AH83" s="17" t="str">
        <x:v>https://drunkenboat.com/index.php</x:v>
      </x:c>
      <x:c r="AI83" s="18" t="n">
        <x:v>4</x:v>
      </x:c>
      <x:c r="AJ83" s="17" t="str">
        <x:v>Unknown</x:v>
      </x:c>
      <x:c r="AK83" s="17" t="str">
        <x:v>Unknown</x:v>
      </x:c>
    </x:row>
    <x:row r="84" ht="44" customHeight="1">
      <x:c r="A84" s="17" t="str">
        <x:v>Anthony Myint</x:v>
      </x:c>
      <x:c r="B84" s="17" t="str">
        <x:v>Anthony</x:v>
      </x:c>
      <x:c r="C84" s="17" t="str">
        <x:v>Myint</x:v>
      </x:c>
      <x:c r="D84" s="18" t="str">
        <x:v>1995</x:v>
      </x:c>
      <x:c r="E84" s="17" t="str">
        <x:v>Strongly inferred</x:v>
      </x:c>
      <x:c r="F84" s="17" t="str">
        <x:v>Public biographies identify Myint as a TJHSST alumnus; the 1995 year is reported in archived alumni materials.</x:v>
      </x:c>
      <x:c r="G84" s="17" t="str">
        <x:v>https://en.wikipedia.org/wiki/Anthony_Myint</x:v>
      </x:c>
      <x:c r="H84" s="17" t="str">
        <x:v>Mission Street Food</x:v>
      </x:c>
      <x:c r="I84" s="17" t="str">
        <x:v>Unknown</x:v>
      </x:c>
      <x:c r="J84" s="17" t="str">
        <x:v>Co-founder</x:v>
      </x:c>
      <x:c r="K84" s="17" t="n">
        <x:v>2008</x:v>
      </x:c>
      <x:c r="L84" s="17" t="str">
        <x:v>Closed</x:v>
      </x:c>
      <x:c r="M84" s="17" t="str">
        <x:v>Other</x:v>
      </x:c>
      <x:c r="N84" s="17" t="str">
        <x:v>Restaurant</x:v>
      </x:c>
      <x:c r="O84" s="17" t="str">
        <x:v>Pop-up restaurant and charitable food project in San Francisco.</x:v>
      </x:c>
      <x:c r="P84" s="17" t="str">
        <x:v>San Francisco, CA</x:v>
      </x:c>
      <x:c r="Q84" s="17" t="str">
        <x:v>Bootstrapped</x:v>
      </x:c>
      <x:c r="R84" s="17" t="str">
        <x:v>Unknown</x:v>
      </x:c>
      <x:c r="S84" s="17" t="str">
        <x:v>Unknown</x:v>
      </x:c>
      <x:c r="T84" s="17" t="str">
        <x:v>Unknown</x:v>
      </x:c>
      <x:c r="U84" s="17" t="str">
        <x:v>None</x:v>
      </x:c>
      <x:c r="V84" s="17" t="str">
        <x:v>Closed</x:v>
      </x:c>
      <x:c r="W84" s="17" t="str">
        <x:v>Unknown</x:v>
      </x:c>
      <x:c r="X84" s="17" t="n">
        <x:v>2009</x:v>
      </x:c>
      <x:c r="Y84" s="17" t="str">
        <x:v>Former founder</x:v>
      </x:c>
      <x:c r="Z84" s="17" t="str">
        <x:v>Unknown</x:v>
      </x:c>
      <x:c r="AA84" s="17" t="str">
        <x:v>Unknown</x:v>
      </x:c>
      <x:c r="AB84" s="17" t="str">
        <x:v>Unknown</x:v>
      </x:c>
      <x:c r="AC84" s="17" t="str">
        <x:v>Public biographies and restaurant histories identify Myint as co-founder.</x:v>
      </x:c>
      <x:c r="AD84" s="17" t="str">
        <x:v>https://en.wikipedia.org/wiki/Anthony_Myint</x:v>
      </x:c>
      <x:c r="AE84" s="17" t="str">
        <x:v>Unknown</x:v>
      </x:c>
      <x:c r="AF84" s="17" t="str">
        <x:v>Historical alumni archive</x:v>
      </x:c>
      <x:c r="AG84" s="17" t="str">
        <x:v>TJHSST Founders Initiative</x:v>
      </x:c>
      <x:c r="AH84" s="17" t="str">
        <x:v>https://www.tjhsst.network/alumni</x:v>
      </x:c>
      <x:c r="AI84" s="18" t="n">
        <x:v>3</x:v>
      </x:c>
      <x:c r="AJ84" s="17" t="str">
        <x:v>Unknown</x:v>
      </x:c>
      <x:c r="AK84" s="17" t="str">
        <x:v>Unknown</x:v>
      </x:c>
    </x:row>
    <x:row r="85" ht="44" customHeight="1">
      <x:c r="A85" s="17" t="str">
        <x:v>Anthony Myint</x:v>
      </x:c>
      <x:c r="B85" s="17" t="str">
        <x:v>Anthony</x:v>
      </x:c>
      <x:c r="C85" s="17" t="str">
        <x:v>Myint</x:v>
      </x:c>
      <x:c r="D85" s="18" t="str">
        <x:v>1995</x:v>
      </x:c>
      <x:c r="E85" s="17" t="str">
        <x:v>Strongly inferred</x:v>
      </x:c>
      <x:c r="F85" s="17" t="str">
        <x:v>Public biographies identify Myint as a TJHSST alumnus; the 1995 year is reported in archived alumni materials.</x:v>
      </x:c>
      <x:c r="G85" s="17" t="str">
        <x:v>https://en.wikipedia.org/wiki/Anthony_Myint</x:v>
      </x:c>
      <x:c r="H85" s="17" t="str">
        <x:v>Mission Chinese Food</x:v>
      </x:c>
      <x:c r="I85" s="17" t="str">
        <x:v>Unknown</x:v>
      </x:c>
      <x:c r="J85" s="17" t="str">
        <x:v>Co-founder</x:v>
      </x:c>
      <x:c r="K85" s="17" t="n">
        <x:v>2010</x:v>
      </x:c>
      <x:c r="L85" s="17" t="str">
        <x:v>Closed</x:v>
      </x:c>
      <x:c r="M85" s="17" t="str">
        <x:v>Other</x:v>
      </x:c>
      <x:c r="N85" s="17" t="str">
        <x:v>Restaurant</x:v>
      </x:c>
      <x:c r="O85" s="17" t="str">
        <x:v>Restaurant concept that grew from Mission Street Food.</x:v>
      </x:c>
      <x:c r="P85" s="17" t="str">
        <x:v>San Francisco, CA</x:v>
      </x:c>
      <x:c r="Q85" s="17" t="str">
        <x:v>Bootstrapped</x:v>
      </x:c>
      <x:c r="R85" s="17" t="str">
        <x:v>Unknown</x:v>
      </x:c>
      <x:c r="S85" s="17" t="str">
        <x:v>Unknown</x:v>
      </x:c>
      <x:c r="T85" s="17" t="str">
        <x:v>Unknown</x:v>
      </x:c>
      <x:c r="U85" s="17" t="str">
        <x:v>None</x:v>
      </x:c>
      <x:c r="V85" s="17" t="str">
        <x:v>Closed</x:v>
      </x:c>
      <x:c r="W85" s="17" t="str">
        <x:v>Unknown</x:v>
      </x:c>
      <x:c r="X85" s="17" t="n">
        <x:v>2020</x:v>
      </x:c>
      <x:c r="Y85" s="17" t="str">
        <x:v>Former founder</x:v>
      </x:c>
      <x:c r="Z85" s="17" t="str">
        <x:v>Unknown</x:v>
      </x:c>
      <x:c r="AA85" s="17" t="str">
        <x:v>Unknown</x:v>
      </x:c>
      <x:c r="AB85" s="17" t="str">
        <x:v>Unknown</x:v>
      </x:c>
      <x:c r="AC85" s="17" t="str">
        <x:v>Public biographies and restaurant histories identify Myint as co-founder.</x:v>
      </x:c>
      <x:c r="AD85" s="17" t="str">
        <x:v>https://en.wikipedia.org/wiki/Anthony_Myint</x:v>
      </x:c>
      <x:c r="AE85" s="17" t="str">
        <x:v>Unknown</x:v>
      </x:c>
      <x:c r="AF85" s="17" t="str">
        <x:v>Historical alumni archive</x:v>
      </x:c>
      <x:c r="AG85" s="17" t="str">
        <x:v>TJHSST Founders Initiative</x:v>
      </x:c>
      <x:c r="AH85" s="17" t="str">
        <x:v>https://www.tjhsst.network/alumni</x:v>
      </x:c>
      <x:c r="AI85" s="18" t="n">
        <x:v>3</x:v>
      </x:c>
      <x:c r="AJ85" s="17" t="str">
        <x:v>Unknown</x:v>
      </x:c>
      <x:c r="AK85" s="17" t="str">
        <x:v>Unknown</x:v>
      </x:c>
    </x:row>
    <x:row r="86" ht="44" customHeight="1">
      <x:c r="A86" s="17" t="str">
        <x:v>Anthony Myint</x:v>
      </x:c>
      <x:c r="B86" s="17" t="str">
        <x:v>Anthony</x:v>
      </x:c>
      <x:c r="C86" s="17" t="str">
        <x:v>Myint</x:v>
      </x:c>
      <x:c r="D86" s="18" t="str">
        <x:v>1995</x:v>
      </x:c>
      <x:c r="E86" s="17" t="str">
        <x:v>Strongly inferred</x:v>
      </x:c>
      <x:c r="F86" s="17" t="str">
        <x:v>Public biographies identify Myint as a TJHSST alumnus; the 1995 year is reported in archived alumni materials.</x:v>
      </x:c>
      <x:c r="G86" s="17" t="str">
        <x:v>https://en.wikipedia.org/wiki/Anthony_Myint</x:v>
      </x:c>
      <x:c r="H86" s="17" t="str">
        <x:v>Mission Burger</x:v>
      </x:c>
      <x:c r="I86" s="17" t="str">
        <x:v>Unknown</x:v>
      </x:c>
      <x:c r="J86" s="17" t="str">
        <x:v>Co-founder</x:v>
      </x:c>
      <x:c r="K86" s="17" t="n">
        <x:v>2009</x:v>
      </x:c>
      <x:c r="L86" s="17" t="str">
        <x:v>Closed</x:v>
      </x:c>
      <x:c r="M86" s="17" t="str">
        <x:v>Other</x:v>
      </x:c>
      <x:c r="N86" s="17" t="str">
        <x:v>Restaurant</x:v>
      </x:c>
      <x:c r="O86" s="17" t="str">
        <x:v>Burger restaurant project co-founded by Anthony Myint.</x:v>
      </x:c>
      <x:c r="P86" s="17" t="str">
        <x:v>San Francisco, CA</x:v>
      </x:c>
      <x:c r="Q86" s="17" t="str">
        <x:v>Bootstrapped</x:v>
      </x:c>
      <x:c r="R86" s="17" t="str">
        <x:v>Unknown</x:v>
      </x:c>
      <x:c r="S86" s="17" t="str">
        <x:v>Unknown</x:v>
      </x:c>
      <x:c r="T86" s="17" t="str">
        <x:v>Unknown</x:v>
      </x:c>
      <x:c r="U86" s="17" t="str">
        <x:v>None</x:v>
      </x:c>
      <x:c r="V86" s="17" t="str">
        <x:v>Closed</x:v>
      </x:c>
      <x:c r="W86" s="17" t="str">
        <x:v>Unknown</x:v>
      </x:c>
      <x:c r="X86" s="17" t="str">
        <x:v>Unknown</x:v>
      </x:c>
      <x:c r="Y86" s="17" t="str">
        <x:v>Former founder</x:v>
      </x:c>
      <x:c r="Z86" s="17" t="str">
        <x:v>Unknown</x:v>
      </x:c>
      <x:c r="AA86" s="17" t="str">
        <x:v>Unknown</x:v>
      </x:c>
      <x:c r="AB86" s="17" t="str">
        <x:v>Unknown</x:v>
      </x:c>
      <x:c r="AC86" s="17" t="str">
        <x:v>Public biographies and restaurant histories identify Myint as co-founder.</x:v>
      </x:c>
      <x:c r="AD86" s="17" t="str">
        <x:v>https://en.wikipedia.org/wiki/Anthony_Myint</x:v>
      </x:c>
      <x:c r="AE86" s="17" t="str">
        <x:v>Unknown</x:v>
      </x:c>
      <x:c r="AF86" s="17" t="str">
        <x:v>Historical alumni archive</x:v>
      </x:c>
      <x:c r="AG86" s="17" t="str">
        <x:v>TJHSST Founders Initiative</x:v>
      </x:c>
      <x:c r="AH86" s="17" t="str">
        <x:v>https://www.tjhsst.network/alumni</x:v>
      </x:c>
      <x:c r="AI86" s="18" t="n">
        <x:v>3</x:v>
      </x:c>
      <x:c r="AJ86" s="17" t="str">
        <x:v>Unknown</x:v>
      </x:c>
      <x:c r="AK86" s="17" t="str">
        <x:v>Unknown</x:v>
      </x:c>
    </x:row>
    <x:row r="87" ht="44" customHeight="1">
      <x:c r="A87" s="17" t="str">
        <x:v>Anthony Myint</x:v>
      </x:c>
      <x:c r="B87" s="17" t="str">
        <x:v>Anthony</x:v>
      </x:c>
      <x:c r="C87" s="17" t="str">
        <x:v>Myint</x:v>
      </x:c>
      <x:c r="D87" s="18" t="str">
        <x:v>1995</x:v>
      </x:c>
      <x:c r="E87" s="17" t="str">
        <x:v>Strongly inferred</x:v>
      </x:c>
      <x:c r="F87" s="17" t="str">
        <x:v>Public biographies identify Myint as a TJHSST alumnus; the 1995 year is reported in archived alumni materials.</x:v>
      </x:c>
      <x:c r="G87" s="17" t="str">
        <x:v>https://en.wikipedia.org/wiki/Anthony_Myint</x:v>
      </x:c>
      <x:c r="H87" s="17" t="str">
        <x:v>Mission Cantina</x:v>
      </x:c>
      <x:c r="I87" s="17" t="str">
        <x:v>Unknown</x:v>
      </x:c>
      <x:c r="J87" s="17" t="str">
        <x:v>Co-founder</x:v>
      </x:c>
      <x:c r="K87" s="17" t="n">
        <x:v>2013</x:v>
      </x:c>
      <x:c r="L87" s="17" t="str">
        <x:v>Closed</x:v>
      </x:c>
      <x:c r="M87" s="17" t="str">
        <x:v>Other</x:v>
      </x:c>
      <x:c r="N87" s="17" t="str">
        <x:v>Restaurant</x:v>
      </x:c>
      <x:c r="O87" s="17" t="str">
        <x:v>Restaurant concept co-founded by Anthony Myint.</x:v>
      </x:c>
      <x:c r="P87" s="17" t="str">
        <x:v>New York, NY</x:v>
      </x:c>
      <x:c r="Q87" s="17" t="str">
        <x:v>Bootstrapped</x:v>
      </x:c>
      <x:c r="R87" s="17" t="str">
        <x:v>Unknown</x:v>
      </x:c>
      <x:c r="S87" s="17" t="str">
        <x:v>Unknown</x:v>
      </x:c>
      <x:c r="T87" s="17" t="str">
        <x:v>Unknown</x:v>
      </x:c>
      <x:c r="U87" s="17" t="str">
        <x:v>None</x:v>
      </x:c>
      <x:c r="V87" s="17" t="str">
        <x:v>Closed</x:v>
      </x:c>
      <x:c r="W87" s="17" t="str">
        <x:v>Unknown</x:v>
      </x:c>
      <x:c r="X87" s="17" t="str">
        <x:v>Unknown</x:v>
      </x:c>
      <x:c r="Y87" s="17" t="str">
        <x:v>Former founder</x:v>
      </x:c>
      <x:c r="Z87" s="17" t="str">
        <x:v>Unknown</x:v>
      </x:c>
      <x:c r="AA87" s="17" t="str">
        <x:v>Unknown</x:v>
      </x:c>
      <x:c r="AB87" s="17" t="str">
        <x:v>Unknown</x:v>
      </x:c>
      <x:c r="AC87" s="17" t="str">
        <x:v>Public biographies and restaurant histories identify Myint as co-founder.</x:v>
      </x:c>
      <x:c r="AD87" s="17" t="str">
        <x:v>https://en.wikipedia.org/wiki/Anthony_Myint</x:v>
      </x:c>
      <x:c r="AE87" s="17" t="str">
        <x:v>Unknown</x:v>
      </x:c>
      <x:c r="AF87" s="17" t="str">
        <x:v>Historical alumni archive</x:v>
      </x:c>
      <x:c r="AG87" s="17" t="str">
        <x:v>TJHSST Founders Initiative</x:v>
      </x:c>
      <x:c r="AH87" s="17" t="str">
        <x:v>https://www.tjhsst.network/alumni</x:v>
      </x:c>
      <x:c r="AI87" s="18" t="n">
        <x:v>3</x:v>
      </x:c>
      <x:c r="AJ87" s="17" t="str">
        <x:v>Unknown</x:v>
      </x:c>
      <x:c r="AK87" s="17" t="str">
        <x:v>Unknown</x:v>
      </x:c>
    </x:row>
    <x:row r="88" ht="44" customHeight="1">
      <x:c r="A88" s="17" t="str">
        <x:v>Anthony Myint</x:v>
      </x:c>
      <x:c r="B88" s="17" t="str">
        <x:v>Anthony</x:v>
      </x:c>
      <x:c r="C88" s="17" t="str">
        <x:v>Myint</x:v>
      </x:c>
      <x:c r="D88" s="18" t="str">
        <x:v>1995</x:v>
      </x:c>
      <x:c r="E88" s="17" t="str">
        <x:v>Strongly inferred</x:v>
      </x:c>
      <x:c r="F88" s="17" t="str">
        <x:v>Public biographies identify Myint as a TJHSST alumnus; the 1995 year is reported in archived alumni materials.</x:v>
      </x:c>
      <x:c r="G88" s="17" t="str">
        <x:v>https://en.wikipedia.org/wiki/Anthony_Myint</x:v>
      </x:c>
      <x:c r="H88" s="17" t="str">
        <x:v>Commonwealth</x:v>
      </x:c>
      <x:c r="I88" s="17" t="str">
        <x:v>Unknown</x:v>
      </x:c>
      <x:c r="J88" s="17" t="str">
        <x:v>Co-founder</x:v>
      </x:c>
      <x:c r="K88" s="17" t="n">
        <x:v>2010</x:v>
      </x:c>
      <x:c r="L88" s="17" t="str">
        <x:v>Closed</x:v>
      </x:c>
      <x:c r="M88" s="17" t="str">
        <x:v>Other</x:v>
      </x:c>
      <x:c r="N88" s="17" t="str">
        <x:v>Restaurant</x:v>
      </x:c>
      <x:c r="O88" s="17" t="str">
        <x:v>San Francisco restaurant co-founded by Anthony Myint.</x:v>
      </x:c>
      <x:c r="P88" s="17" t="str">
        <x:v>San Francisco, CA</x:v>
      </x:c>
      <x:c r="Q88" s="17" t="str">
        <x:v>Bootstrapped</x:v>
      </x:c>
      <x:c r="R88" s="17" t="str">
        <x:v>Unknown</x:v>
      </x:c>
      <x:c r="S88" s="17" t="str">
        <x:v>Unknown</x:v>
      </x:c>
      <x:c r="T88" s="17" t="str">
        <x:v>Unknown</x:v>
      </x:c>
      <x:c r="U88" s="17" t="str">
        <x:v>None</x:v>
      </x:c>
      <x:c r="V88" s="17" t="str">
        <x:v>Closed</x:v>
      </x:c>
      <x:c r="W88" s="17" t="str">
        <x:v>Unknown</x:v>
      </x:c>
      <x:c r="X88" s="17" t="str">
        <x:v>Unknown</x:v>
      </x:c>
      <x:c r="Y88" s="17" t="str">
        <x:v>Former founder</x:v>
      </x:c>
      <x:c r="Z88" s="17" t="str">
        <x:v>Unknown</x:v>
      </x:c>
      <x:c r="AA88" s="17" t="str">
        <x:v>Unknown</x:v>
      </x:c>
      <x:c r="AB88" s="17" t="str">
        <x:v>Unknown</x:v>
      </x:c>
      <x:c r="AC88" s="17" t="str">
        <x:v>Public biographies and restaurant histories identify Myint as co-founder.</x:v>
      </x:c>
      <x:c r="AD88" s="17" t="str">
        <x:v>https://en.wikipedia.org/wiki/Anthony_Myint</x:v>
      </x:c>
      <x:c r="AE88" s="17" t="str">
        <x:v>Unknown</x:v>
      </x:c>
      <x:c r="AF88" s="17" t="str">
        <x:v>Historical alumni archive</x:v>
      </x:c>
      <x:c r="AG88" s="17" t="str">
        <x:v>TJHSST Founders Initiative</x:v>
      </x:c>
      <x:c r="AH88" s="17" t="str">
        <x:v>https://www.tjhsst.network/alumni</x:v>
      </x:c>
      <x:c r="AI88" s="18" t="n">
        <x:v>3</x:v>
      </x:c>
      <x:c r="AJ88" s="17" t="str">
        <x:v>Unknown</x:v>
      </x:c>
      <x:c r="AK88" s="17" t="str">
        <x:v>Unknown</x:v>
      </x:c>
    </x:row>
    <x:row r="89" ht="44" customHeight="1">
      <x:c r="A89" s="17" t="str">
        <x:v>Anthony Myint</x:v>
      </x:c>
      <x:c r="B89" s="17" t="str">
        <x:v>Anthony</x:v>
      </x:c>
      <x:c r="C89" s="17" t="str">
        <x:v>Myint</x:v>
      </x:c>
      <x:c r="D89" s="18" t="str">
        <x:v>1995</x:v>
      </x:c>
      <x:c r="E89" s="17" t="str">
        <x:v>Strongly inferred</x:v>
      </x:c>
      <x:c r="F89" s="17" t="str">
        <x:v>Public biographies identify Myint as a TJHSST alumnus; the 1995 year is reported in archived alumni materials.</x:v>
      </x:c>
      <x:c r="G89" s="17" t="str">
        <x:v>https://en.wikipedia.org/wiki/Anthony_Myint</x:v>
      </x:c>
      <x:c r="H89" s="17" t="str">
        <x:v>The Perennial</x:v>
      </x:c>
      <x:c r="I89" s="17" t="str">
        <x:v>Unknown</x:v>
      </x:c>
      <x:c r="J89" s="17" t="str">
        <x:v>Co-founder</x:v>
      </x:c>
      <x:c r="K89" s="17" t="n">
        <x:v>2016</x:v>
      </x:c>
      <x:c r="L89" s="17" t="str">
        <x:v>Closed</x:v>
      </x:c>
      <x:c r="M89" s="17" t="str">
        <x:v>Climate</x:v>
      </x:c>
      <x:c r="N89" s="17" t="str">
        <x:v>Sustainable restaurant</x:v>
      </x:c>
      <x:c r="O89" s="17" t="str">
        <x:v>Climate-conscious restaurant and food-system venture.</x:v>
      </x:c>
      <x:c r="P89" s="17" t="str">
        <x:v>San Francisco, CA</x:v>
      </x:c>
      <x:c r="Q89" s="17" t="str">
        <x:v>Bootstrapped</x:v>
      </x:c>
      <x:c r="R89" s="17" t="str">
        <x:v>Unknown</x:v>
      </x:c>
      <x:c r="S89" s="17" t="str">
        <x:v>Unknown</x:v>
      </x:c>
      <x:c r="T89" s="17" t="str">
        <x:v>Unknown</x:v>
      </x:c>
      <x:c r="U89" s="17" t="str">
        <x:v>None</x:v>
      </x:c>
      <x:c r="V89" s="17" t="str">
        <x:v>Closed</x:v>
      </x:c>
      <x:c r="W89" s="17" t="str">
        <x:v>Unknown</x:v>
      </x:c>
      <x:c r="X89" s="17" t="n">
        <x:v>2019</x:v>
      </x:c>
      <x:c r="Y89" s="17" t="str">
        <x:v>Former founder</x:v>
      </x:c>
      <x:c r="Z89" s="17" t="str">
        <x:v>Unknown</x:v>
      </x:c>
      <x:c r="AA89" s="17" t="str">
        <x:v>Unknown</x:v>
      </x:c>
      <x:c r="AB89" s="17" t="str">
        <x:v>Unknown</x:v>
      </x:c>
      <x:c r="AC89" s="17" t="str">
        <x:v>Public biographies and restaurant histories identify Myint as co-founder.</x:v>
      </x:c>
      <x:c r="AD89" s="17" t="str">
        <x:v>https://en.wikipedia.org/wiki/Anthony_Myint</x:v>
      </x:c>
      <x:c r="AE89" s="17" t="str">
        <x:v>Unknown</x:v>
      </x:c>
      <x:c r="AF89" s="17" t="str">
        <x:v>Historical alumni archive</x:v>
      </x:c>
      <x:c r="AG89" s="17" t="str">
        <x:v>TJHSST Founders Initiative</x:v>
      </x:c>
      <x:c r="AH89" s="17" t="str">
        <x:v>https://www.tjhsst.network/alumni</x:v>
      </x:c>
      <x:c r="AI89" s="18" t="n">
        <x:v>3</x:v>
      </x:c>
      <x:c r="AJ89" s="17" t="str">
        <x:v>Unknown</x:v>
      </x:c>
      <x:c r="AK89" s="17" t="str">
        <x:v>Unknown</x:v>
      </x:c>
    </x:row>
    <x:row r="90" ht="44" customHeight="1">
      <x:c r="A90" s="17" t="str">
        <x:v>Bob Bland</x:v>
      </x:c>
      <x:c r="B90" s="17" t="str">
        <x:v>Bob</x:v>
      </x:c>
      <x:c r="C90" s="17" t="str">
        <x:v>Bland</x:v>
      </x:c>
      <x:c r="D90" s="18" t="str"/>
      <x:c r="E90" s="17" t="str">
        <x:v>Unknown</x:v>
      </x:c>
      <x:c r="F90" s="17" t="str">
        <x:v>Public biographies identify Bland as having attended TJHSST; no reliable graduation year was located.</x:v>
      </x:c>
      <x:c r="G90" s="17" t="str">
        <x:v>https://en.wikipedia.org/wiki/Bob_Bland</x:v>
      </x:c>
      <x:c r="H90" s="17" t="str">
        <x:v>Brooklyn Royalty</x:v>
      </x:c>
      <x:c r="I90" s="17" t="str">
        <x:v>Unknown</x:v>
      </x:c>
      <x:c r="J90" s="17" t="str">
        <x:v>Founder</x:v>
      </x:c>
      <x:c r="K90" s="17" t="n">
        <x:v>2006</x:v>
      </x:c>
      <x:c r="L90" s="17" t="str">
        <x:v>Dormant</x:v>
      </x:c>
      <x:c r="M90" s="17" t="str">
        <x:v>Consumer</x:v>
      </x:c>
      <x:c r="N90" s="17" t="str">
        <x:v>Fashion label</x:v>
      </x:c>
      <x:c r="O90" s="17" t="str">
        <x:v>Independent fashion label founded by Bob Bland.</x:v>
      </x:c>
      <x:c r="P90" s="17" t="str">
        <x:v>Brooklyn, NY</x:v>
      </x:c>
      <x:c r="Q90" s="17" t="str">
        <x:v>Bootstrapped</x:v>
      </x:c>
      <x:c r="R90" s="17" t="str">
        <x:v>Unknown</x:v>
      </x:c>
      <x:c r="S90" s="17" t="str">
        <x:v>Unknown</x:v>
      </x:c>
      <x:c r="T90" s="17" t="str">
        <x:v>Unknown</x:v>
      </x:c>
      <x:c r="U90" s="17" t="str">
        <x:v>None</x:v>
      </x:c>
      <x:c r="V90" s="17" t="str">
        <x:v>Dormant / status unclear</x:v>
      </x:c>
      <x:c r="W90" s="17" t="str">
        <x:v>Unknown</x:v>
      </x:c>
      <x:c r="X90" s="17" t="str">
        <x:v>Unknown</x:v>
      </x:c>
      <x:c r="Y90" s="17" t="str">
        <x:v>Former founder</x:v>
      </x:c>
      <x:c r="Z90" s="17" t="str">
        <x:v>Unknown</x:v>
      </x:c>
      <x:c r="AA90" s="17" t="str">
        <x:v>Unknown</x:v>
      </x:c>
      <x:c r="AB90" s="17" t="str">
        <x:v>Unknown</x:v>
      </x:c>
      <x:c r="AC90" s="17" t="str">
        <x:v>Public biographies identify Bland as founder.</x:v>
      </x:c>
      <x:c r="AD90" s="17" t="str">
        <x:v>https://en.wikipedia.org/wiki/Bob_Bland</x:v>
      </x:c>
      <x:c r="AE90" s="17" t="str">
        <x:v>Unknown</x:v>
      </x:c>
      <x:c r="AF90" s="17" t="str">
        <x:v>Historical alumni archive</x:v>
      </x:c>
      <x:c r="AG90" s="17" t="str">
        <x:v>TJHSST Founders Initiative</x:v>
      </x:c>
      <x:c r="AH90" s="17" t="str">
        <x:v>https://www.tjhsst.network/alumni</x:v>
      </x:c>
      <x:c r="AI90" s="18" t="n">
        <x:v>3</x:v>
      </x:c>
      <x:c r="AJ90" s="17" t="str">
        <x:v>Unknown</x:v>
      </x:c>
      <x:c r="AK90" s="17" t="str">
        <x:v>Savannah College of Art and Design</x:v>
      </x:c>
    </x:row>
    <x:row r="91" ht="44" customHeight="1">
      <x:c r="A91" s="17" t="str">
        <x:v>Bob Bland</x:v>
      </x:c>
      <x:c r="B91" s="17" t="str">
        <x:v>Bob</x:v>
      </x:c>
      <x:c r="C91" s="17" t="str">
        <x:v>Bland</x:v>
      </x:c>
      <x:c r="D91" s="18" t="str"/>
      <x:c r="E91" s="17" t="str">
        <x:v>Unknown</x:v>
      </x:c>
      <x:c r="F91" s="17" t="str">
        <x:v>Public biographies identify Bland as having attended TJHSST; no reliable graduation year was located.</x:v>
      </x:c>
      <x:c r="G91" s="17" t="str">
        <x:v>https://en.wikipedia.org/wiki/Bob_Bland</x:v>
      </x:c>
      <x:c r="H91" s="17" t="str">
        <x:v>Manufacture New York</x:v>
      </x:c>
      <x:c r="I91" s="17" t="str">
        <x:v>Unknown</x:v>
      </x:c>
      <x:c r="J91" s="17" t="str">
        <x:v>Founder and CEO</x:v>
      </x:c>
      <x:c r="K91" s="17" t="n">
        <x:v>2012</x:v>
      </x:c>
      <x:c r="L91" s="17" t="str">
        <x:v>Closed</x:v>
      </x:c>
      <x:c r="M91" s="17" t="str">
        <x:v>Manufacturing</x:v>
      </x:c>
      <x:c r="N91" s="17" t="str">
        <x:v>Fashion manufacturing</x:v>
      </x:c>
      <x:c r="O91" s="17" t="str">
        <x:v>Fashion-incubator and manufacturing campus initiative.</x:v>
      </x:c>
      <x:c r="P91" s="17" t="str">
        <x:v>Brooklyn, NY</x:v>
      </x:c>
      <x:c r="Q91" s="17" t="str">
        <x:v>Yes</x:v>
      </x:c>
      <x:c r="R91" s="17" t="str">
        <x:v>Unknown</x:v>
      </x:c>
      <x:c r="S91" s="17" t="str">
        <x:v>Private / public support</x:v>
      </x:c>
      <x:c r="T91" s="17" t="str">
        <x:v>Unknown</x:v>
      </x:c>
      <x:c r="U91" s="17" t="str">
        <x:v>None</x:v>
      </x:c>
      <x:c r="V91" s="17" t="str">
        <x:v>Closed</x:v>
      </x:c>
      <x:c r="W91" s="17" t="str">
        <x:v>Unknown</x:v>
      </x:c>
      <x:c r="X91" s="17" t="str">
        <x:v>Unknown</x:v>
      </x:c>
      <x:c r="Y91" s="17" t="str">
        <x:v>Former founder</x:v>
      </x:c>
      <x:c r="Z91" s="17" t="str">
        <x:v>Unknown</x:v>
      </x:c>
      <x:c r="AA91" s="17" t="str">
        <x:v>Unknown</x:v>
      </x:c>
      <x:c r="AB91" s="17" t="str">
        <x:v>Unknown</x:v>
      </x:c>
      <x:c r="AC91" s="17" t="str">
        <x:v>Public biographies identify Bland as founder/CEO.</x:v>
      </x:c>
      <x:c r="AD91" s="17" t="str">
        <x:v>https://en.wikipedia.org/wiki/Bob_Bland</x:v>
      </x:c>
      <x:c r="AE91" s="17" t="str">
        <x:v>Unknown</x:v>
      </x:c>
      <x:c r="AF91" s="17" t="str">
        <x:v>Historical alumni archive</x:v>
      </x:c>
      <x:c r="AG91" s="17" t="str">
        <x:v>TJHSST Founders Initiative</x:v>
      </x:c>
      <x:c r="AH91" s="17" t="str">
        <x:v>https://www.tjhsst.network/alumni</x:v>
      </x:c>
      <x:c r="AI91" s="18" t="n">
        <x:v>3</x:v>
      </x:c>
      <x:c r="AJ91" s="17" t="str">
        <x:v>Unknown</x:v>
      </x:c>
      <x:c r="AK91" s="17" t="str">
        <x:v>Savannah College of Art and Design</x:v>
      </x:c>
    </x:row>
    <x:row r="92" ht="44" customHeight="1">
      <x:c r="A92" s="17" t="str">
        <x:v>Josh Jones</x:v>
      </x:c>
      <x:c r="B92" s="17" t="str">
        <x:v>Josh</x:v>
      </x:c>
      <x:c r="C92" s="17" t="str">
        <x:v>Jones</x:v>
      </x:c>
      <x:c r="D92" s="18" t="str">
        <x:v>1994</x:v>
      </x:c>
      <x:c r="E92" s="17" t="str">
        <x:v>Confirmed</x:v>
      </x:c>
      <x:c r="F92" s="17" t="str">
        <x:v>Public regulatory filings list Jones at TJHSST from 1991–1994.</x:v>
      </x:c>
      <x:c r="G92" s="17" t="str">
        <x:v>https://downloads.regulations.gov/DOT-OST-2020-0134-0001/attachment_5.pdf</x:v>
      </x:c>
      <x:c r="H92" s="17" t="str">
        <x:v>DreamHost</x:v>
      </x:c>
      <x:c r="I92" s="17" t="str">
        <x:v>https://www.dreamhost.com/</x:v>
      </x:c>
      <x:c r="J92" s="17" t="str">
        <x:v>Co-founder</x:v>
      </x:c>
      <x:c r="K92" s="17" t="n">
        <x:v>1997</x:v>
      </x:c>
      <x:c r="L92" s="17" t="str">
        <x:v>Active</x:v>
      </x:c>
      <x:c r="M92" s="17" t="str">
        <x:v>Enterprise Software</x:v>
      </x:c>
      <x:c r="N92" s="17" t="str">
        <x:v>Web hosting</x:v>
      </x:c>
      <x:c r="O92" s="17" t="str">
        <x:v>Employee-owned web-hosting and domain-services company.</x:v>
      </x:c>
      <x:c r="P92" s="17" t="str">
        <x:v>Brea, CA</x:v>
      </x:c>
      <x:c r="Q92" s="17" t="str">
        <x:v>Bootstrapped</x:v>
      </x:c>
      <x:c r="R92" s="17" t="str">
        <x:v>Bootstrapped / undisclosed</x:v>
      </x:c>
      <x:c r="S92" s="17" t="str">
        <x:v>Unknown</x:v>
      </x:c>
      <x:c r="T92" s="17" t="str">
        <x:v>Unknown</x:v>
      </x:c>
      <x:c r="U92" s="17" t="str">
        <x:v>None</x:v>
      </x:c>
      <x:c r="V92" s="17" t="str">
        <x:v>None known</x:v>
      </x:c>
      <x:c r="W92" s="17" t="str">
        <x:v>Unknown</x:v>
      </x:c>
      <x:c r="X92" s="17" t="str">
        <x:v>Unknown</x:v>
      </x:c>
      <x:c r="Y92" s="17" t="str">
        <x:v>Unknown</x:v>
      </x:c>
      <x:c r="Z92" s="17" t="str">
        <x:v>Unknown</x:v>
      </x:c>
      <x:c r="AA92" s="17" t="str">
        <x:v>Unknown</x:v>
      </x:c>
      <x:c r="AB92" s="17" t="str">
        <x:v>Unknown</x:v>
      </x:c>
      <x:c r="AC92" s="17" t="str">
        <x:v>Public filings list Jones’s founder roles.</x:v>
      </x:c>
      <x:c r="AD92" s="17" t="str">
        <x:v>https://downloads.regulations.gov/DOT-OST-2020-0134-0001/attachment_5.pdf</x:v>
      </x:c>
      <x:c r="AE92" s="17" t="str">
        <x:v>https://wellfound.com/p/josh-jones</x:v>
      </x:c>
      <x:c r="AF92" s="17" t="str">
        <x:v>Historical-company search</x:v>
      </x:c>
      <x:c r="AG92" s="17" t="str">
        <x:v>Public regulatory filing</x:v>
      </x:c>
      <x:c r="AH92" s="17" t="str">
        <x:v>https://downloads.regulations.gov/DOT-OST-2020-0134-0001/attachment_5.pdf</x:v>
      </x:c>
      <x:c r="AI92" s="18" t="n">
        <x:v>5</x:v>
      </x:c>
      <x:c r="AJ92" s="17" t="str">
        <x:v>Unknown</x:v>
      </x:c>
      <x:c r="AK92" s="17" t="str">
        <x:v>Harvey Mudd College</x:v>
      </x:c>
    </x:row>
    <x:row r="93" ht="44" customHeight="1">
      <x:c r="A93" s="17" t="str">
        <x:v>Josh Jones</x:v>
      </x:c>
      <x:c r="B93" s="17" t="str">
        <x:v>Josh</x:v>
      </x:c>
      <x:c r="C93" s="17" t="str">
        <x:v>Jones</x:v>
      </x:c>
      <x:c r="D93" s="18" t="str">
        <x:v>1994</x:v>
      </x:c>
      <x:c r="E93" s="17" t="str">
        <x:v>Confirmed</x:v>
      </x:c>
      <x:c r="F93" s="17" t="str">
        <x:v>Public regulatory filings list Jones at TJHSST from 1991–1994.</x:v>
      </x:c>
      <x:c r="G93" s="17" t="str">
        <x:v>https://downloads.regulations.gov/DOT-OST-2020-0134-0001/attachment_5.pdf</x:v>
      </x:c>
      <x:c r="H93" s="17" t="str">
        <x:v>ePub Bud</x:v>
      </x:c>
      <x:c r="I93" s="17" t="str">
        <x:v>Unknown</x:v>
      </x:c>
      <x:c r="J93" s="17" t="str">
        <x:v>Founder</x:v>
      </x:c>
      <x:c r="K93" s="17" t="n">
        <x:v>2009</x:v>
      </x:c>
      <x:c r="L93" s="17" t="str">
        <x:v>Dormant</x:v>
      </x:c>
      <x:c r="M93" s="17" t="str">
        <x:v>Education</x:v>
      </x:c>
      <x:c r="N93" s="17" t="str">
        <x:v>Digital publishing</x:v>
      </x:c>
      <x:c r="O93" s="17" t="str">
        <x:v>Children’s e-book publishing and distribution platform.</x:v>
      </x:c>
      <x:c r="P93" s="17" t="str">
        <x:v>Unknown</x:v>
      </x:c>
      <x:c r="Q93" s="17" t="str">
        <x:v>Bootstrapped</x:v>
      </x:c>
      <x:c r="R93" s="17" t="str">
        <x:v>Unknown</x:v>
      </x:c>
      <x:c r="S93" s="17" t="str">
        <x:v>Unknown</x:v>
      </x:c>
      <x:c r="T93" s="17" t="str">
        <x:v>Unknown</x:v>
      </x:c>
      <x:c r="U93" s="17" t="str">
        <x:v>None</x:v>
      </x:c>
      <x:c r="V93" s="17" t="str">
        <x:v>Dormant</x:v>
      </x:c>
      <x:c r="W93" s="17" t="str">
        <x:v>Unknown</x:v>
      </x:c>
      <x:c r="X93" s="17" t="str">
        <x:v>Unknown</x:v>
      </x:c>
      <x:c r="Y93" s="17" t="str">
        <x:v>Former founder</x:v>
      </x:c>
      <x:c r="Z93" s="17" t="str">
        <x:v>Unknown</x:v>
      </x:c>
      <x:c r="AA93" s="17" t="str">
        <x:v>Unknown</x:v>
      </x:c>
      <x:c r="AB93" s="17" t="str">
        <x:v>Unknown</x:v>
      </x:c>
      <x:c r="AC93" s="17" t="str">
        <x:v>Public filings list Jones’s founder roles.</x:v>
      </x:c>
      <x:c r="AD93" s="17" t="str">
        <x:v>https://downloads.regulations.gov/DOT-OST-2020-0134-0001/attachment_5.pdf</x:v>
      </x:c>
      <x:c r="AE93" s="17" t="str">
        <x:v>https://wellfound.com/p/josh-jones</x:v>
      </x:c>
      <x:c r="AF93" s="17" t="str">
        <x:v>Historical-company search</x:v>
      </x:c>
      <x:c r="AG93" s="17" t="str">
        <x:v>Public regulatory filing</x:v>
      </x:c>
      <x:c r="AH93" s="17" t="str">
        <x:v>https://downloads.regulations.gov/DOT-OST-2020-0134-0001/attachment_5.pdf</x:v>
      </x:c>
      <x:c r="AI93" s="18" t="n">
        <x:v>5</x:v>
      </x:c>
      <x:c r="AJ93" s="17" t="str">
        <x:v>Unknown</x:v>
      </x:c>
      <x:c r="AK93" s="17" t="str">
        <x:v>Harvey Mudd College</x:v>
      </x:c>
    </x:row>
    <x:row r="94" ht="44" customHeight="1">
      <x:c r="A94" s="17" t="str">
        <x:v>Josh Jones</x:v>
      </x:c>
      <x:c r="B94" s="17" t="str">
        <x:v>Josh</x:v>
      </x:c>
      <x:c r="C94" s="17" t="str">
        <x:v>Jones</x:v>
      </x:c>
      <x:c r="D94" s="18" t="str">
        <x:v>1994</x:v>
      </x:c>
      <x:c r="E94" s="17" t="str">
        <x:v>Confirmed</x:v>
      </x:c>
      <x:c r="F94" s="17" t="str">
        <x:v>Public regulatory filings list Jones at TJHSST from 1991–1994.</x:v>
      </x:c>
      <x:c r="G94" s="17" t="str">
        <x:v>https://downloads.regulations.gov/DOT-OST-2020-0134-0001/attachment_5.pdf</x:v>
      </x:c>
      <x:c r="H94" s="17" t="str">
        <x:v>HMC INQ</x:v>
      </x:c>
      <x:c r="I94" s="17" t="str">
        <x:v>Unknown</x:v>
      </x:c>
      <x:c r="J94" s="17" t="str">
        <x:v>Founder</x:v>
      </x:c>
      <x:c r="K94" s="17" t="n">
        <x:v>2000</x:v>
      </x:c>
      <x:c r="L94" s="17" t="str">
        <x:v>Dormant</x:v>
      </x:c>
      <x:c r="M94" s="17" t="str">
        <x:v>Venture Capital</x:v>
      </x:c>
      <x:c r="N94" s="17" t="str">
        <x:v>Angel investing</x:v>
      </x:c>
      <x:c r="O94" s="17" t="str">
        <x:v>Angel-investment entity founded by Josh Jones.</x:v>
      </x:c>
      <x:c r="P94" s="17" t="str">
        <x:v>Los Angeles, CA</x:v>
      </x:c>
      <x:c r="Q94" s="17" t="str">
        <x:v>No</x:v>
      </x:c>
      <x:c r="R94" s="17" t="str">
        <x:v>Unknown</x:v>
      </x:c>
      <x:c r="S94" s="17" t="str">
        <x:v>Unknown</x:v>
      </x:c>
      <x:c r="T94" s="17" t="str">
        <x:v>Unknown</x:v>
      </x:c>
      <x:c r="U94" s="17" t="str">
        <x:v>None</x:v>
      </x:c>
      <x:c r="V94" s="17" t="str">
        <x:v>Dormant / status unclear</x:v>
      </x:c>
      <x:c r="W94" s="17" t="str">
        <x:v>Unknown</x:v>
      </x:c>
      <x:c r="X94" s="17" t="str">
        <x:v>Unknown</x:v>
      </x:c>
      <x:c r="Y94" s="17" t="str">
        <x:v>Former founder</x:v>
      </x:c>
      <x:c r="Z94" s="17" t="str">
        <x:v>Unknown</x:v>
      </x:c>
      <x:c r="AA94" s="17" t="str">
        <x:v>Unknown</x:v>
      </x:c>
      <x:c r="AB94" s="17" t="str">
        <x:v>Unknown</x:v>
      </x:c>
      <x:c r="AC94" s="17" t="str">
        <x:v>Public filings list Jones’s founder roles.</x:v>
      </x:c>
      <x:c r="AD94" s="17" t="str">
        <x:v>https://downloads.regulations.gov/DOT-OST-2020-0134-0001/attachment_5.pdf</x:v>
      </x:c>
      <x:c r="AE94" s="17" t="str">
        <x:v>https://wellfound.com/p/josh-jones</x:v>
      </x:c>
      <x:c r="AF94" s="17" t="str">
        <x:v>Historical-company search</x:v>
      </x:c>
      <x:c r="AG94" s="17" t="str">
        <x:v>Public regulatory filing</x:v>
      </x:c>
      <x:c r="AH94" s="17" t="str">
        <x:v>https://downloads.regulations.gov/DOT-OST-2020-0134-0001/attachment_5.pdf</x:v>
      </x:c>
      <x:c r="AI94" s="18" t="n">
        <x:v>5</x:v>
      </x:c>
      <x:c r="AJ94" s="17" t="str">
        <x:v>Unknown</x:v>
      </x:c>
      <x:c r="AK94" s="17" t="str">
        <x:v>Harvey Mudd College</x:v>
      </x:c>
    </x:row>
    <x:row r="95" ht="44" customHeight="1">
      <x:c r="A95" s="17" t="str">
        <x:v>Evan Burfield</x:v>
      </x:c>
      <x:c r="B95" s="17" t="str">
        <x:v>Evan</x:v>
      </x:c>
      <x:c r="C95" s="17" t="str">
        <x:v>Burfield</x:v>
      </x:c>
      <x:c r="D95" s="18" t="str">
        <x:v>1995</x:v>
      </x:c>
      <x:c r="E95" s="17" t="str">
        <x:v>Confirmed</x:v>
      </x:c>
      <x:c r="F95" s="17" t="str">
        <x:v>Local coverage identifies Burfield as a 1995 TJ graduate.</x:v>
      </x:c>
      <x:c r="G95" s="17" t="str">
        <x:v>https://www.fcnp.com/2007/11/28/community-news-and-notes/</x:v>
      </x:c>
      <x:c r="H95" s="17" t="str">
        <x:v>netDecide</x:v>
      </x:c>
      <x:c r="I95" s="17" t="str">
        <x:v>Unknown</x:v>
      </x:c>
      <x:c r="J95" s="17" t="str">
        <x:v>Co-founder</x:v>
      </x:c>
      <x:c r="K95" s="17" t="n">
        <x:v>1998</x:v>
      </x:c>
      <x:c r="L95" s="17" t="str">
        <x:v>Acquired</x:v>
      </x:c>
      <x:c r="M95" s="17" t="str">
        <x:v>Fintech</x:v>
      </x:c>
      <x:c r="N95" s="17" t="str">
        <x:v>Wealth-management software</x:v>
      </x:c>
      <x:c r="O95" s="17" t="str">
        <x:v>Financial-planning software company.</x:v>
      </x:c>
      <x:c r="P95" s="17" t="str">
        <x:v>Virginia</x:v>
      </x:c>
      <x:c r="Q95" s="17" t="str">
        <x:v>Yes</x:v>
      </x:c>
      <x:c r="R95" s="17" t="str">
        <x:v>Unknown</x:v>
      </x:c>
      <x:c r="S95" s="17" t="str">
        <x:v>Venture financing</x:v>
      </x:c>
      <x:c r="T95" s="17" t="str">
        <x:v>Unknown</x:v>
      </x:c>
      <x:c r="U95" s="17" t="str">
        <x:v>None</x:v>
      </x:c>
      <x:c r="V95" s="17" t="str">
        <x:v>Acquired</x:v>
      </x:c>
      <x:c r="W95" s="17" t="str">
        <x:v>Informa</x:v>
      </x:c>
      <x:c r="X95" s="17" t="n">
        <x:v>2003</x:v>
      </x:c>
      <x:c r="Y95" s="17" t="str">
        <x:v>Former founder</x:v>
      </x:c>
      <x:c r="Z95" s="17" t="str">
        <x:v>Unknown</x:v>
      </x:c>
      <x:c r="AA95" s="17" t="str">
        <x:v>Unknown</x:v>
      </x:c>
      <x:c r="AB95" s="17" t="str">
        <x:v>Unknown</x:v>
      </x:c>
      <x:c r="AC95" s="17" t="str">
        <x:v>Public biographies and Washington Post coverage identify Burfield’s founder roles.</x:v>
      </x:c>
      <x:c r="AD95" s="17" t="str">
        <x:v>https://www.uschamber.com/sites/default/files/final_health_care_summit_program.pdf</x:v>
      </x:c>
      <x:c r="AE95" s="17" t="str">
        <x:v>https://www.washingtonpost.com/business/capitalbusiness/at-hallway-high-school-students-try-to-help-schools-communicate/2012/09/14/47b849b2-fc1a-11e1-a31e-804fccb658f9_story.html</x:v>
      </x:c>
      <x:c r="AF95" s="17" t="str">
        <x:v>Historical-company search</x:v>
      </x:c>
      <x:c r="AG95" s="17" t="str">
        <x:v>Washington-area founder coverage</x:v>
      </x:c>
      <x:c r="AH95" s="17" t="str">
        <x:v>https://www.washingtonpost.com/business/capitalbusiness/start-up-hub-1776-aims-to-connect-dc-tech-entrepreneurs/2013/01/18/1c9ed8ac-60cd-11e2-b05a-605528f6b712_story.html</x:v>
      </x:c>
      <x:c r="AI95" s="18" t="n">
        <x:v>4</x:v>
      </x:c>
      <x:c r="AJ95" s="17" t="str">
        <x:v>Unknown</x:v>
      </x:c>
      <x:c r="AK95" s="17" t="str">
        <x:v>University of Oxford</x:v>
      </x:c>
    </x:row>
    <x:row r="96" ht="44" customHeight="1">
      <x:c r="A96" s="17" t="str">
        <x:v>Evan Burfield</x:v>
      </x:c>
      <x:c r="B96" s="17" t="str">
        <x:v>Evan</x:v>
      </x:c>
      <x:c r="C96" s="17" t="str">
        <x:v>Burfield</x:v>
      </x:c>
      <x:c r="D96" s="18" t="str">
        <x:v>1995</x:v>
      </x:c>
      <x:c r="E96" s="17" t="str">
        <x:v>Confirmed</x:v>
      </x:c>
      <x:c r="F96" s="17" t="str">
        <x:v>Local coverage identifies Burfield as a 1995 TJ graduate.</x:v>
      </x:c>
      <x:c r="G96" s="17" t="str">
        <x:v>https://www.fcnp.com/2007/11/28/community-news-and-notes/</x:v>
      </x:c>
      <x:c r="H96" s="17" t="str">
        <x:v>Synteractive</x:v>
      </x:c>
      <x:c r="I96" s="17" t="str">
        <x:v>Unknown</x:v>
      </x:c>
      <x:c r="J96" s="17" t="str">
        <x:v>Co-founder</x:v>
      </x:c>
      <x:c r="K96" s="17" t="n">
        <x:v>2003</x:v>
      </x:c>
      <x:c r="L96" s="17" t="str">
        <x:v>Acquired</x:v>
      </x:c>
      <x:c r="M96" s="17" t="str">
        <x:v>Enterprise Software</x:v>
      </x:c>
      <x:c r="N96" s="17" t="str">
        <x:v>Digital government consulting</x:v>
      </x:c>
      <x:c r="O96" s="17" t="str">
        <x:v>Technology and consulting firm serving government and enterprise clients.</x:v>
      </x:c>
      <x:c r="P96" s="17" t="str">
        <x:v>Washington, DC</x:v>
      </x:c>
      <x:c r="Q96" s="17" t="str">
        <x:v>Unknown</x:v>
      </x:c>
      <x:c r="R96" s="17" t="str">
        <x:v>Unknown</x:v>
      </x:c>
      <x:c r="S96" s="17" t="str">
        <x:v>Unknown</x:v>
      </x:c>
      <x:c r="T96" s="17" t="str">
        <x:v>Unknown</x:v>
      </x:c>
      <x:c r="U96" s="17" t="str">
        <x:v>None</x:v>
      </x:c>
      <x:c r="V96" s="17" t="str">
        <x:v>Acquired</x:v>
      </x:c>
      <x:c r="W96" s="17" t="str">
        <x:v>Palladium</x:v>
      </x:c>
      <x:c r="X96" s="17" t="n">
        <x:v>2015</x:v>
      </x:c>
      <x:c r="Y96" s="17" t="str">
        <x:v>Former founder</x:v>
      </x:c>
      <x:c r="Z96" s="17" t="str">
        <x:v>Unknown</x:v>
      </x:c>
      <x:c r="AA96" s="17" t="str">
        <x:v>Unknown</x:v>
      </x:c>
      <x:c r="AB96" s="17" t="str">
        <x:v>Unknown</x:v>
      </x:c>
      <x:c r="AC96" s="17" t="str">
        <x:v>Public biographies and Washington Post coverage identify Burfield’s founder roles.</x:v>
      </x:c>
      <x:c r="AD96" s="17" t="str">
        <x:v>https://www.uschamber.com/sites/default/files/final_health_care_summit_program.pdf</x:v>
      </x:c>
      <x:c r="AE96" s="17" t="str">
        <x:v>https://www.washingtonpost.com/business/capitalbusiness/at-hallway-high-school-students-try-to-help-schools-communicate/2012/09/14/47b849b2-fc1a-11e1-a31e-804fccb658f9_story.html</x:v>
      </x:c>
      <x:c r="AF96" s="17" t="str">
        <x:v>Historical-company search</x:v>
      </x:c>
      <x:c r="AG96" s="17" t="str">
        <x:v>Washington-area founder coverage</x:v>
      </x:c>
      <x:c r="AH96" s="17" t="str">
        <x:v>https://www.washingtonpost.com/business/capitalbusiness/start-up-hub-1776-aims-to-connect-dc-tech-entrepreneurs/2013/01/18/1c9ed8ac-60cd-11e2-b05a-605528f6b712_story.html</x:v>
      </x:c>
      <x:c r="AI96" s="18" t="n">
        <x:v>4</x:v>
      </x:c>
      <x:c r="AJ96" s="17" t="str">
        <x:v>Unknown</x:v>
      </x:c>
      <x:c r="AK96" s="17" t="str">
        <x:v>University of Oxford</x:v>
      </x:c>
    </x:row>
    <x:row r="97" ht="44" customHeight="1">
      <x:c r="A97" s="17" t="str">
        <x:v>Evan Burfield</x:v>
      </x:c>
      <x:c r="B97" s="17" t="str">
        <x:v>Evan</x:v>
      </x:c>
      <x:c r="C97" s="17" t="str">
        <x:v>Burfield</x:v>
      </x:c>
      <x:c r="D97" s="18" t="str">
        <x:v>1995</x:v>
      </x:c>
      <x:c r="E97" s="17" t="str">
        <x:v>Confirmed</x:v>
      </x:c>
      <x:c r="F97" s="17" t="str">
        <x:v>Local coverage identifies Burfield as a 1995 TJ graduate.</x:v>
      </x:c>
      <x:c r="G97" s="17" t="str">
        <x:v>https://www.fcnp.com/2007/11/28/community-news-and-notes/</x:v>
      </x:c>
      <x:c r="H97" s="17" t="str">
        <x:v>1776</x:v>
      </x:c>
      <x:c r="I97" s="17" t="str">
        <x:v>Unknown</x:v>
      </x:c>
      <x:c r="J97" s="17" t="str">
        <x:v>Co-founder</x:v>
      </x:c>
      <x:c r="K97" s="17" t="n">
        <x:v>2013</x:v>
      </x:c>
      <x:c r="L97" s="17" t="str">
        <x:v>Acquired</x:v>
      </x:c>
      <x:c r="M97" s="17" t="str">
        <x:v>Venture Capital</x:v>
      </x:c>
      <x:c r="N97" s="17" t="str">
        <x:v>Startup incubator</x:v>
      </x:c>
      <x:c r="O97" s="17" t="str">
        <x:v>Washington startup incubator, seed fund and global entrepreneurship network.</x:v>
      </x:c>
      <x:c r="P97" s="17" t="str">
        <x:v>Washington, DC</x:v>
      </x:c>
      <x:c r="Q97" s="17" t="str">
        <x:v>Yes</x:v>
      </x:c>
      <x:c r="R97" s="17" t="str">
        <x:v>Unknown</x:v>
      </x:c>
      <x:c r="S97" s="17" t="str">
        <x:v>Private financing</x:v>
      </x:c>
      <x:c r="T97" s="17" t="str">
        <x:v>Unknown</x:v>
      </x:c>
      <x:c r="U97" s="17" t="str">
        <x:v>None</x:v>
      </x:c>
      <x:c r="V97" s="17" t="str">
        <x:v>Merged / acquired</x:v>
      </x:c>
      <x:c r="W97" s="17" t="str">
        <x:v>Benjamin’s Desk</x:v>
      </x:c>
      <x:c r="X97" s="17" t="n">
        <x:v>2017</x:v>
      </x:c>
      <x:c r="Y97" s="17" t="str">
        <x:v>Former founder</x:v>
      </x:c>
      <x:c r="Z97" s="17" t="str">
        <x:v>Unknown</x:v>
      </x:c>
      <x:c r="AA97" s="17" t="str">
        <x:v>Unknown</x:v>
      </x:c>
      <x:c r="AB97" s="17" t="str">
        <x:v>Unknown</x:v>
      </x:c>
      <x:c r="AC97" s="17" t="str">
        <x:v>Public biographies and Washington Post coverage identify Burfield’s founder roles.</x:v>
      </x:c>
      <x:c r="AD97" s="17" t="str">
        <x:v>https://www.uschamber.com/sites/default/files/final_health_care_summit_program.pdf</x:v>
      </x:c>
      <x:c r="AE97" s="17" t="str">
        <x:v>https://www.washingtonpost.com/business/capitalbusiness/at-hallway-high-school-students-try-to-help-schools-communicate/2012/09/14/47b849b2-fc1a-11e1-a31e-804fccb658f9_story.html</x:v>
      </x:c>
      <x:c r="AF97" s="17" t="str">
        <x:v>Historical-company search</x:v>
      </x:c>
      <x:c r="AG97" s="17" t="str">
        <x:v>Washington-area founder coverage</x:v>
      </x:c>
      <x:c r="AH97" s="17" t="str">
        <x:v>https://www.washingtonpost.com/business/capitalbusiness/start-up-hub-1776-aims-to-connect-dc-tech-entrepreneurs/2013/01/18/1c9ed8ac-60cd-11e2-b05a-605528f6b712_story.html</x:v>
      </x:c>
      <x:c r="AI97" s="18" t="n">
        <x:v>4</x:v>
      </x:c>
      <x:c r="AJ97" s="17" t="str">
        <x:v>Unknown</x:v>
      </x:c>
      <x:c r="AK97" s="17" t="str">
        <x:v>University of Oxford</x:v>
      </x:c>
    </x:row>
    <x:row r="98" ht="44" customHeight="1">
      <x:c r="A98" s="17" t="str">
        <x:v>Evan Burfield</x:v>
      </x:c>
      <x:c r="B98" s="17" t="str">
        <x:v>Evan</x:v>
      </x:c>
      <x:c r="C98" s="17" t="str">
        <x:v>Burfield</x:v>
      </x:c>
      <x:c r="D98" s="18" t="str">
        <x:v>1995</x:v>
      </x:c>
      <x:c r="E98" s="17" t="str">
        <x:v>Confirmed</x:v>
      </x:c>
      <x:c r="F98" s="17" t="str">
        <x:v>Local coverage identifies Burfield as a 1995 TJ graduate.</x:v>
      </x:c>
      <x:c r="G98" s="17" t="str">
        <x:v>https://www.fcnp.com/2007/11/28/community-news-and-notes/</x:v>
      </x:c>
      <x:c r="H98" s="17" t="str">
        <x:v>Hallway</x:v>
      </x:c>
      <x:c r="I98" s="17" t="str">
        <x:v>Unknown</x:v>
      </x:c>
      <x:c r="J98" s="17" t="str">
        <x:v>Co-founder and chair</x:v>
      </x:c>
      <x:c r="K98" s="17" t="n">
        <x:v>2012</x:v>
      </x:c>
      <x:c r="L98" s="17" t="str">
        <x:v>Closed</x:v>
      </x:c>
      <x:c r="M98" s="17" t="str">
        <x:v>Education</x:v>
      </x:c>
      <x:c r="N98" s="17" t="str">
        <x:v>School communications</x:v>
      </x:c>
      <x:c r="O98" s="17" t="str">
        <x:v>Student-built school communications and announcement platform.</x:v>
      </x:c>
      <x:c r="P98" s="17" t="str">
        <x:v>Alexandria, VA</x:v>
      </x:c>
      <x:c r="Q98" s="17" t="str">
        <x:v>Yes</x:v>
      </x:c>
      <x:c r="R98" s="17" t="str">
        <x:v>Tens of thousands of dollars reported</x:v>
      </x:c>
      <x:c r="S98" s="17" t="str">
        <x:v>Seed</x:v>
      </x:c>
      <x:c r="T98" s="17" t="str">
        <x:v>Individual angel investors</x:v>
      </x:c>
      <x:c r="U98" s="17" t="str">
        <x:v>Unknown</x:v>
      </x:c>
      <x:c r="V98" s="17" t="str">
        <x:v>Closed</x:v>
      </x:c>
      <x:c r="W98" s="17" t="str">
        <x:v>Unknown</x:v>
      </x:c>
      <x:c r="X98" s="17" t="str">
        <x:v>Unknown</x:v>
      </x:c>
      <x:c r="Y98" s="17" t="str">
        <x:v>Former founder</x:v>
      </x:c>
      <x:c r="Z98" s="17" t="str">
        <x:v>Unknown</x:v>
      </x:c>
      <x:c r="AA98" s="17" t="str">
        <x:v>Unknown</x:v>
      </x:c>
      <x:c r="AB98" s="17" t="str">
        <x:v>Unknown</x:v>
      </x:c>
      <x:c r="AC98" s="17" t="str">
        <x:v>Public biographies and Washington Post coverage identify Burfield’s founder roles.</x:v>
      </x:c>
      <x:c r="AD98" s="17" t="str">
        <x:v>https://www.uschamber.com/sites/default/files/final_health_care_summit_program.pdf</x:v>
      </x:c>
      <x:c r="AE98" s="17" t="str">
        <x:v>https://www.washingtonpost.com/business/capitalbusiness/at-hallway-high-school-students-try-to-help-schools-communicate/2012/09/14/47b849b2-fc1a-11e1-a31e-804fccb658f9_story.html</x:v>
      </x:c>
      <x:c r="AF98" s="17" t="str">
        <x:v>Historical-company search</x:v>
      </x:c>
      <x:c r="AG98" s="17" t="str">
        <x:v>Washington-area founder coverage</x:v>
      </x:c>
      <x:c r="AH98" s="17" t="str">
        <x:v>https://www.washingtonpost.com/business/capitalbusiness/start-up-hub-1776-aims-to-connect-dc-tech-entrepreneurs/2013/01/18/1c9ed8ac-60cd-11e2-b05a-605528f6b712_story.html</x:v>
      </x:c>
      <x:c r="AI98" s="18" t="n">
        <x:v>4</x:v>
      </x:c>
      <x:c r="AJ98" s="17" t="str">
        <x:v>Unknown</x:v>
      </x:c>
      <x:c r="AK98" s="17" t="str">
        <x:v>University of Oxford</x:v>
      </x:c>
    </x:row>
    <x:row r="99" ht="44" customHeight="1">
      <x:c r="A99" s="17" t="str">
        <x:v>Sean McElrath</x:v>
      </x:c>
      <x:c r="B99" s="17" t="str">
        <x:v>Sean</x:v>
      </x:c>
      <x:c r="C99" s="17" t="str">
        <x:v>McElrath</x:v>
      </x:c>
      <x:c r="D99" s="18" t="str">
        <x:v>2013</x:v>
      </x:c>
      <x:c r="E99" s="17" t="str">
        <x:v>Confirmed</x:v>
      </x:c>
      <x:c r="F99" s="17" t="str">
        <x:v>The Washington Post identifies McElrath as a TJHSST Class of 2013 student founder.</x:v>
      </x:c>
      <x:c r="G99" s="17" t="str">
        <x:v>https://www.washingtonpost.com/business/capitalbusiness/at-hallway-high-school-students-try-to-help-schools-communicate/2012/09/14/47b849b2-fc1a-11e1-a31e-804fccb658f9_story.html</x:v>
      </x:c>
      <x:c r="H99" s="17" t="str">
        <x:v>Hallway</x:v>
      </x:c>
      <x:c r="I99" s="17" t="str">
        <x:v>Unknown</x:v>
      </x:c>
      <x:c r="J99" s="17" t="str">
        <x:v>Co-founder and CEO</x:v>
      </x:c>
      <x:c r="K99" s="17" t="n">
        <x:v>2012</x:v>
      </x:c>
      <x:c r="L99" s="17" t="str">
        <x:v>Closed</x:v>
      </x:c>
      <x:c r="M99" s="17" t="str">
        <x:v>Education</x:v>
      </x:c>
      <x:c r="N99" s="17" t="str">
        <x:v>School communications</x:v>
      </x:c>
      <x:c r="O99" s="17" t="str">
        <x:v>Student-built school communications and announcement platform.</x:v>
      </x:c>
      <x:c r="P99" s="17" t="str">
        <x:v>Alexandria, VA</x:v>
      </x:c>
      <x:c r="Q99" s="17" t="str">
        <x:v>Yes</x:v>
      </x:c>
      <x:c r="R99" s="17" t="str">
        <x:v>Tens of thousands of dollars reported</x:v>
      </x:c>
      <x:c r="S99" s="17" t="str">
        <x:v>Seed</x:v>
      </x:c>
      <x:c r="T99" s="17" t="str">
        <x:v>Individual angel investors</x:v>
      </x:c>
      <x:c r="U99" s="17" t="str">
        <x:v>Unknown</x:v>
      </x:c>
      <x:c r="V99" s="17" t="str">
        <x:v>Closed</x:v>
      </x:c>
      <x:c r="W99" s="17" t="str">
        <x:v>Unknown</x:v>
      </x:c>
      <x:c r="X99" s="17" t="str">
        <x:v>Unknown</x:v>
      </x:c>
      <x:c r="Y99" s="17" t="str">
        <x:v>Former founder</x:v>
      </x:c>
      <x:c r="Z99" s="17" t="str">
        <x:v>Unknown</x:v>
      </x:c>
      <x:c r="AA99" s="17" t="str">
        <x:v>Unknown</x:v>
      </x:c>
      <x:c r="AB99" s="17" t="str">
        <x:v>Unknown</x:v>
      </x:c>
      <x:c r="AC99" s="17" t="str">
        <x:v>Contemporaneous profiles identify McElrath as Hallway founder/CEO.</x:v>
      </x:c>
      <x:c r="AD99" s="17" t="str">
        <x:v>https://tech.co/news/sean-mcelrath-hallway-dc-2012-09</x:v>
      </x:c>
      <x:c r="AE99" s="17" t="str">
        <x:v>Unknown</x:v>
      </x:c>
      <x:c r="AF99" s="17" t="str">
        <x:v>Young-founder search</x:v>
      </x:c>
      <x:c r="AG99" s="17" t="str">
        <x:v>Washington Post student-founder profile</x:v>
      </x:c>
      <x:c r="AH99" s="17" t="str">
        <x:v>https://tech.co/news/sean-mcelrath-hallway-dc-2012-09</x:v>
      </x:c>
      <x:c r="AI99" s="18" t="n">
        <x:v>5</x:v>
      </x:c>
      <x:c r="AJ99" s="17" t="str">
        <x:v>Unknown</x:v>
      </x:c>
      <x:c r="AK99" s="17" t="str">
        <x:v>Unknown</x:v>
      </x:c>
    </x:row>
    <x:row r="100" ht="44" customHeight="1">
      <x:c r="A100" s="17" t="str">
        <x:v>Matthew Mueller</x:v>
      </x:c>
      <x:c r="B100" s="17" t="str">
        <x:v>Matthew</x:v>
      </x:c>
      <x:c r="C100" s="17" t="str">
        <x:v>Mueller</x:v>
      </x:c>
      <x:c r="D100" s="18" t="str"/>
      <x:c r="E100" s="17" t="str">
        <x:v>Unknown</x:v>
      </x:c>
      <x:c r="F100" s="17" t="str">
        <x:v>Mueller’s professional profile and UVA alumni coverage identify TJHSST in his education history.</x:v>
      </x:c>
      <x:c r="G100" s="17" t="str">
        <x:v>https://www.linkedin.com/in/matthewjamesmueller</x:v>
      </x:c>
      <x:c r="H100" s="17" t="str">
        <x:v>Knot Standard</x:v>
      </x:c>
      <x:c r="I100" s="17" t="str">
        <x:v>https://www.knotstandard.com/</x:v>
      </x:c>
      <x:c r="J100" s="17" t="str">
        <x:v>Co-founder and president</x:v>
      </x:c>
      <x:c r="K100" s="17" t="n">
        <x:v>2010</x:v>
      </x:c>
      <x:c r="L100" s="17" t="str">
        <x:v>Active</x:v>
      </x:c>
      <x:c r="M100" s="17" t="str">
        <x:v>E-commerce</x:v>
      </x:c>
      <x:c r="N100" s="17" t="str">
        <x:v>Custom menswear</x:v>
      </x:c>
      <x:c r="O100" s="17" t="str">
        <x:v>Technology-enabled custom menswear company.</x:v>
      </x:c>
      <x:c r="P100" s="17" t="str">
        <x:v>New York, NY</x:v>
      </x:c>
      <x:c r="Q100" s="17" t="str">
        <x:v>Yes</x:v>
      </x:c>
      <x:c r="R100" s="17" t="str">
        <x:v>Unknown</x:v>
      </x:c>
      <x:c r="S100" s="17" t="str">
        <x:v>Private financing</x:v>
      </x:c>
      <x:c r="T100" s="17" t="str">
        <x:v>Unknown</x:v>
      </x:c>
      <x:c r="U100" s="17" t="str">
        <x:v>Unknown</x:v>
      </x:c>
      <x:c r="V100" s="17" t="str">
        <x:v>None known</x:v>
      </x:c>
      <x:c r="W100" s="17" t="str">
        <x:v>Unknown</x:v>
      </x:c>
      <x:c r="X100" s="17" t="str">
        <x:v>Unknown</x:v>
      </x:c>
      <x:c r="Y100" s="17" t="str">
        <x:v>Unknown</x:v>
      </x:c>
      <x:c r="Z100" s="17" t="str">
        <x:v>Unknown</x:v>
      </x:c>
      <x:c r="AA100" s="17" t="str">
        <x:v>Unknown</x:v>
      </x:c>
      <x:c r="AB100" s="17" t="str">
        <x:v>Unknown</x:v>
      </x:c>
      <x:c r="AC100" s="17" t="str">
        <x:v>UVA founder profile identifies Mueller as co-founder.</x:v>
      </x:c>
      <x:c r="AD100" s="17" t="str">
        <x:v>https://archive.news.virginia.edu/content/alumnus-matthew-mueller-brings-tech-revolution-custom-menswear</x:v>
      </x:c>
      <x:c r="AE100" s="17" t="str">
        <x:v>Unknown</x:v>
      </x:c>
      <x:c r="AF100" s="17" t="str">
        <x:v>LinkedIn/biography cross-search</x:v>
      </x:c>
      <x:c r="AG100" s="17" t="str">
        <x:v>UVA founder profile</x:v>
      </x:c>
      <x:c r="AH100" s="17" t="str">
        <x:v>https://archive.news.virginia.edu/content/alumnus-matthew-mueller-brings-tech-revolution-custom-menswear</x:v>
      </x:c>
      <x:c r="AI100" s="18" t="n">
        <x:v>5</x:v>
      </x:c>
      <x:c r="AJ100" s="17" t="str">
        <x:v>Unknown</x:v>
      </x:c>
      <x:c r="AK100" s="17" t="str">
        <x:v>University of Virginia</x:v>
      </x:c>
    </x:row>
    <x:row r="101" ht="44" customHeight="1">
      <x:c r="A101" s="17" t="str">
        <x:v>Jerry O. Talton</x:v>
      </x:c>
      <x:c r="B101" s="17" t="str">
        <x:v>Jerry O.</x:v>
      </x:c>
      <x:c r="C101" s="17" t="str">
        <x:v>Talton</x:v>
      </x:c>
      <x:c r="D101" s="18" t="str">
        <x:v>2000</x:v>
      </x:c>
      <x:c r="E101" s="17" t="str">
        <x:v>Confirmed</x:v>
      </x:c>
      <x:c r="F101" s="17" t="str">
        <x:v>Talton’s public CV lists TJHSST and a 2000 graduation.</x:v>
      </x:c>
      <x:c r="G101" s="17" t="str">
        <x:v>https://www.jerrytalton.net/files/jerry-talton-cv.pdf</x:v>
      </x:c>
      <x:c r="H101" s="17" t="str">
        <x:v>Apropose</x:v>
      </x:c>
      <x:c r="I101" s="17" t="str">
        <x:v>Unknown</x:v>
      </x:c>
      <x:c r="J101" s="17" t="str">
        <x:v>Founder and CEO</x:v>
      </x:c>
      <x:c r="K101" s="17" t="n">
        <x:v>2013</x:v>
      </x:c>
      <x:c r="L101" s="17" t="str">
        <x:v>Closed</x:v>
      </x:c>
      <x:c r="M101" s="17" t="str">
        <x:v>Artificial Intelligence</x:v>
      </x:c>
      <x:c r="N101" s="17" t="str">
        <x:v>Interior-design visualization</x:v>
      </x:c>
      <x:c r="O101" s="17" t="str">
        <x:v>Computer-vision software for interior design and visual search.</x:v>
      </x:c>
      <x:c r="P101" s="17" t="str">
        <x:v>Palo Alto, CA</x:v>
      </x:c>
      <x:c r="Q101" s="17" t="str">
        <x:v>Yes</x:v>
      </x:c>
      <x:c r="R101" s="17" t="str">
        <x:v>Unknown</x:v>
      </x:c>
      <x:c r="S101" s="17" t="str">
        <x:v>Seed</x:v>
      </x:c>
      <x:c r="T101" s="17" t="str">
        <x:v>Unknown</x:v>
      </x:c>
      <x:c r="U101" s="17" t="str">
        <x:v>Unknown</x:v>
      </x:c>
      <x:c r="V101" s="17" t="str">
        <x:v>Closed</x:v>
      </x:c>
      <x:c r="W101" s="17" t="str">
        <x:v>Unknown</x:v>
      </x:c>
      <x:c r="X101" s="17" t="n">
        <x:v>2016</x:v>
      </x:c>
      <x:c r="Y101" s="17" t="str">
        <x:v>Former founder</x:v>
      </x:c>
      <x:c r="Z101" s="17" t="str">
        <x:v>Unknown</x:v>
      </x:c>
      <x:c r="AA101" s="17" t="str">
        <x:v>https://www.jerrytalton.net/</x:v>
      </x:c>
      <x:c r="AB101" s="17" t="str">
        <x:v>Unknown</x:v>
      </x:c>
      <x:c r="AC101" s="17" t="str">
        <x:v>Talton’s public CV identifies him as Apropose founder/CEO.</x:v>
      </x:c>
      <x:c r="AD101" s="17" t="str">
        <x:v>https://www.jerrytalton.net/files/jerry-talton-cv.pdf</x:v>
      </x:c>
      <x:c r="AE101" s="17" t="str">
        <x:v>Unknown</x:v>
      </x:c>
      <x:c r="AF101" s="17" t="str">
        <x:v>Personal-CV search</x:v>
      </x:c>
      <x:c r="AG101" s="17" t="str">
        <x:v>Founder CV</x:v>
      </x:c>
      <x:c r="AH101" s="17" t="str">
        <x:v>https://www.jerrytalton.net/files/jerry-talton-cv.pdf</x:v>
      </x:c>
      <x:c r="AI101" s="18" t="n">
        <x:v>5</x:v>
      </x:c>
      <x:c r="AJ101" s="17" t="str">
        <x:v>Unknown</x:v>
      </x:c>
      <x:c r="AK101" s="17" t="str">
        <x:v>Stanford University</x:v>
      </x:c>
    </x:row>
    <x:row r="102" ht="44" customHeight="1">
      <x:c r="A102" s="17" t="str">
        <x:v>Philip Pan</x:v>
      </x:c>
      <x:c r="B102" s="17" t="str">
        <x:v>Philip</x:v>
      </x:c>
      <x:c r="C102" s="17" t="str">
        <x:v>Pan</x:v>
      </x:c>
      <x:c r="D102" s="18" t="str">
        <x:v>2020</x:v>
      </x:c>
      <x:c r="E102" s="17" t="str">
        <x:v>Strongly inferred</x:v>
      </x:c>
      <x:c r="F102" s="17" t="str">
        <x:v>A public youth-entrepreneurship biography identifies Pan as a TJHSST graduate; year is inferred from his 2021 college status.</x:v>
      </x:c>
      <x:c r="G102" s="17" t="str">
        <x:v>https://capanova.org/seminar-14-youth-entrepreneurship/</x:v>
      </x:c>
      <x:c r="H102" s="17" t="str">
        <x:v>Autovision Technologies</x:v>
      </x:c>
      <x:c r="I102" s="17" t="str">
        <x:v>Unknown</x:v>
      </x:c>
      <x:c r="J102" s="17" t="str">
        <x:v>Co-founder</x:v>
      </x:c>
      <x:c r="K102" s="17" t="n">
        <x:v>2020</x:v>
      </x:c>
      <x:c r="L102" s="17" t="str">
        <x:v>Unknown</x:v>
      </x:c>
      <x:c r="M102" s="17" t="str">
        <x:v>Artificial Intelligence</x:v>
      </x:c>
      <x:c r="N102" s="17" t="str">
        <x:v>Computer vision</x:v>
      </x:c>
      <x:c r="O102" s="17" t="str">
        <x:v>Student-founded computer-vision venture.</x:v>
      </x:c>
      <x:c r="P102" s="17" t="str">
        <x:v>Philadelphia, PA</x:v>
      </x:c>
      <x:c r="Q102" s="17" t="str">
        <x:v>Unknown</x:v>
      </x:c>
      <x:c r="R102" s="17" t="str">
        <x:v>Unknown</x:v>
      </x:c>
      <x:c r="S102" s="17" t="str">
        <x:v>Unknown</x:v>
      </x:c>
      <x:c r="T102" s="17" t="str">
        <x:v>Unknown</x:v>
      </x:c>
      <x:c r="U102" s="17" t="str">
        <x:v>Unknown</x:v>
      </x:c>
      <x:c r="V102" s="17" t="str">
        <x:v>Unknown</x:v>
      </x:c>
      <x:c r="W102" s="17" t="str">
        <x:v>Unknown</x:v>
      </x:c>
      <x:c r="X102" s="17" t="str">
        <x:v>Unknown</x:v>
      </x:c>
      <x:c r="Y102" s="17" t="str">
        <x:v>Former founder</x:v>
      </x:c>
      <x:c r="Z102" s="17" t="str">
        <x:v>Unknown</x:v>
      </x:c>
      <x:c r="AA102" s="17" t="str">
        <x:v>Unknown</x:v>
      </x:c>
      <x:c r="AB102" s="17" t="str">
        <x:v>Unknown</x:v>
      </x:c>
      <x:c r="AC102" s="17" t="str">
        <x:v>Public entrepreneurship biography identifies Pan as co-founder.</x:v>
      </x:c>
      <x:c r="AD102" s="17" t="str">
        <x:v>https://capanova.org/seminar-14-youth-entrepreneurship/</x:v>
      </x:c>
      <x:c r="AE102" s="17" t="str">
        <x:v>Unknown</x:v>
      </x:c>
      <x:c r="AF102" s="17" t="str">
        <x:v>Young-founder search</x:v>
      </x:c>
      <x:c r="AG102" s="17" t="str">
        <x:v>Youth entrepreneurship seminar</x:v>
      </x:c>
      <x:c r="AH102" s="17" t="str">
        <x:v>https://capanova.org/seminar-14-youth-entrepreneurship/</x:v>
      </x:c>
      <x:c r="AI102" s="18" t="n">
        <x:v>4</x:v>
      </x:c>
      <x:c r="AJ102" s="17" t="str">
        <x:v>Unknown</x:v>
      </x:c>
      <x:c r="AK102" s="17" t="str">
        <x:v>University of Pennsylvania</x:v>
      </x:c>
    </x:row>
    <x:row r="103" ht="44" customHeight="1">
      <x:c r="A103" s="17" t="str">
        <x:v>Samvrit Rao</x:v>
      </x:c>
      <x:c r="B103" s="17" t="str">
        <x:v>Samvrit</x:v>
      </x:c>
      <x:c r="C103" s="17" t="str">
        <x:v>Rao</x:v>
      </x:c>
      <x:c r="D103" s="18" t="str">
        <x:v>2025</x:v>
      </x:c>
      <x:c r="E103" s="17" t="str">
        <x:v>Strongly inferred</x:v>
      </x:c>
      <x:c r="F103" s="17" t="str">
        <x:v>STEMForU identifies Rao as a TJHSST graduate; the 2025 year follows the organization’s contemporaneous college-entry biography.</x:v>
      </x:c>
      <x:c r="G103" s="17" t="str">
        <x:v>https://www.stemforu.org/about</x:v>
      </x:c>
      <x:c r="H103" s="17" t="str">
        <x:v>STEMForU</x:v>
      </x:c>
      <x:c r="I103" s="17" t="str">
        <x:v>https://www.stemforu.org/</x:v>
      </x:c>
      <x:c r="J103" s="17" t="str">
        <x:v>Founder</x:v>
      </x:c>
      <x:c r="K103" s="17" t="n">
        <x:v>2021</x:v>
      </x:c>
      <x:c r="L103" s="17" t="str">
        <x:v>Active</x:v>
      </x:c>
      <x:c r="M103" s="17" t="str">
        <x:v>Nonprofit</x:v>
      </x:c>
      <x:c r="N103" s="17" t="str">
        <x:v>STEM education</x:v>
      </x:c>
      <x:c r="O103" s="17" t="str">
        <x:v>Student-led organization expanding STEM opportunities.</x:v>
      </x:c>
      <x:c r="P103" s="17" t="str">
        <x:v>Fairfax, VA</x:v>
      </x:c>
      <x:c r="Q103" s="17" t="str">
        <x:v>No</x:v>
      </x:c>
      <x:c r="R103" s="17" t="str">
        <x:v>Unknown</x:v>
      </x:c>
      <x:c r="S103" s="17" t="str">
        <x:v>Donations</x:v>
      </x:c>
      <x:c r="T103" s="17" t="str">
        <x:v>Unknown</x:v>
      </x:c>
      <x:c r="U103" s="17" t="str">
        <x:v>None</x:v>
      </x:c>
      <x:c r="V103" s="17" t="str">
        <x:v>None known</x:v>
      </x:c>
      <x:c r="W103" s="17" t="str">
        <x:v>Unknown</x:v>
      </x:c>
      <x:c r="X103" s="17" t="str">
        <x:v>Unknown</x:v>
      </x:c>
      <x:c r="Y103" s="17" t="str">
        <x:v>Unknown</x:v>
      </x:c>
      <x:c r="Z103" s="17" t="str">
        <x:v>Unknown</x:v>
      </x:c>
      <x:c r="AA103" s="17" t="str">
        <x:v>Unknown</x:v>
      </x:c>
      <x:c r="AB103" s="17" t="str">
        <x:v>Unknown</x:v>
      </x:c>
      <x:c r="AC103" s="17" t="str">
        <x:v>Organization biography identifies Rao as founder.</x:v>
      </x:c>
      <x:c r="AD103" s="17" t="str">
        <x:v>https://www.stemforu.org/about</x:v>
      </x:c>
      <x:c r="AE103" s="17" t="str">
        <x:v>Unknown</x:v>
      </x:c>
      <x:c r="AF103" s="17" t="str">
        <x:v>Young-founder search</x:v>
      </x:c>
      <x:c r="AG103" s="17" t="str">
        <x:v>Nonprofit team page</x:v>
      </x:c>
      <x:c r="AH103" s="17" t="str">
        <x:v>https://www.stemforu.org/about</x:v>
      </x:c>
      <x:c r="AI103" s="18" t="n">
        <x:v>4</x:v>
      </x:c>
      <x:c r="AJ103" s="17" t="str">
        <x:v>Unknown</x:v>
      </x:c>
      <x:c r="AK103" s="17" t="str">
        <x:v>Columbia University</x:v>
      </x:c>
    </x:row>
    <x:row r="104" ht="44" customHeight="1">
      <x:c r="A104" s="17" t="str">
        <x:v>Ray Liu</x:v>
      </x:c>
      <x:c r="B104" s="17" t="str">
        <x:v>Ray</x:v>
      </x:c>
      <x:c r="C104" s="17" t="str">
        <x:v>Liu</x:v>
      </x:c>
      <x:c r="D104" s="18" t="str">
        <x:v>2016</x:v>
      </x:c>
      <x:c r="E104" s="17" t="str">
        <x:v>Strongly inferred</x:v>
      </x:c>
      <x:c r="F104" s="17" t="str">
        <x:v>PeerKonnect’s public biography identifies Liu as a TJHSST student; 2016 is inferred from the dated high-school and Duke timeline.</x:v>
      </x:c>
      <x:c r="G104" s="17" t="str">
        <x:v>https://peerkonnect.org/views/front/peerkonnect.php</x:v>
      </x:c>
      <x:c r="H104" s="17" t="str">
        <x:v>PeerKonnect</x:v>
      </x:c>
      <x:c r="I104" s="17" t="str">
        <x:v>https://peerkonnect.org/</x:v>
      </x:c>
      <x:c r="J104" s="17" t="str">
        <x:v>Founder</x:v>
      </x:c>
      <x:c r="K104" s="17" t="n">
        <x:v>2015</x:v>
      </x:c>
      <x:c r="L104" s="17" t="str">
        <x:v>Dormant</x:v>
      </x:c>
      <x:c r="M104" s="17" t="str">
        <x:v>Education</x:v>
      </x:c>
      <x:c r="N104" s="17" t="str">
        <x:v>Peer tutoring</x:v>
      </x:c>
      <x:c r="O104" s="17" t="str">
        <x:v>Peer-to-peer tutoring platform started by a TJHSST student.</x:v>
      </x:c>
      <x:c r="P104" s="17" t="str">
        <x:v>Fairfax, VA</x:v>
      </x:c>
      <x:c r="Q104" s="17" t="str">
        <x:v>No</x:v>
      </x:c>
      <x:c r="R104" s="17" t="str">
        <x:v>Unknown</x:v>
      </x:c>
      <x:c r="S104" s="17" t="str">
        <x:v>Unknown</x:v>
      </x:c>
      <x:c r="T104" s="17" t="str">
        <x:v>Unknown</x:v>
      </x:c>
      <x:c r="U104" s="17" t="str">
        <x:v>Unknown</x:v>
      </x:c>
      <x:c r="V104" s="17" t="str">
        <x:v>Dormant</x:v>
      </x:c>
      <x:c r="W104" s="17" t="str">
        <x:v>Unknown</x:v>
      </x:c>
      <x:c r="X104" s="17" t="str">
        <x:v>Unknown</x:v>
      </x:c>
      <x:c r="Y104" s="17" t="str">
        <x:v>Former founder</x:v>
      </x:c>
      <x:c r="Z104" s="17" t="str">
        <x:v>Unknown</x:v>
      </x:c>
      <x:c r="AA104" s="17" t="str">
        <x:v>Unknown</x:v>
      </x:c>
      <x:c r="AB104" s="17" t="str">
        <x:v>Unknown</x:v>
      </x:c>
      <x:c r="AC104" s="17" t="str">
        <x:v>Organization biography identifies Liu as founder.</x:v>
      </x:c>
      <x:c r="AD104" s="17" t="str">
        <x:v>https://peerkonnect.org/views/front/peerkonnect.php</x:v>
      </x:c>
      <x:c r="AE104" s="17" t="str">
        <x:v>Unknown</x:v>
      </x:c>
      <x:c r="AF104" s="17" t="str">
        <x:v>Young-founder search</x:v>
      </x:c>
      <x:c r="AG104" s="17" t="str">
        <x:v>Founder organization biography</x:v>
      </x:c>
      <x:c r="AH104" s="17" t="str">
        <x:v>https://peerkonnect.org/views/front/peerkonnect.php</x:v>
      </x:c>
      <x:c r="AI104" s="18" t="n">
        <x:v>4</x:v>
      </x:c>
      <x:c r="AJ104" s="17" t="str">
        <x:v>Unknown</x:v>
      </x:c>
      <x:c r="AK104" s="17" t="str">
        <x:v>Duke University</x:v>
      </x:c>
    </x:row>
    <x:row r="105" ht="44" customHeight="1">
      <x:c r="A105" s="17" t="str">
        <x:v>Tara Gupta</x:v>
      </x:c>
      <x:c r="B105" s="17" t="str">
        <x:v>Tara</x:v>
      </x:c>
      <x:c r="C105" s="17" t="str">
        <x:v>Gupta</x:v>
      </x:c>
      <x:c r="D105" s="18" t="str">
        <x:v>2014</x:v>
      </x:c>
      <x:c r="E105" s="17" t="str">
        <x:v>Confirmed</x:v>
      </x:c>
      <x:c r="F105" s="17" t="str">
        <x:v>A public professional profile reports TJHSST Class of 2014; a university program independently identifies her TJ education.</x:v>
      </x:c>
      <x:c r="G105" s="17" t="str">
        <x:v>https://theorg.com/org/map-collective/org-chart/tara-gupta</x:v>
      </x:c>
      <x:c r="H105" s="17" t="str">
        <x:v>Map-Collective</x:v>
      </x:c>
      <x:c r="I105" s="17" t="str">
        <x:v>https://map-collective.com/</x:v>
      </x:c>
      <x:c r="J105" s="17" t="str">
        <x:v>Founder and CEO</x:v>
      </x:c>
      <x:c r="K105" s="17" t="n">
        <x:v>2020</x:v>
      </x:c>
      <x:c r="L105" s="17" t="str">
        <x:v>Active</x:v>
      </x:c>
      <x:c r="M105" s="17" t="str">
        <x:v>Climate</x:v>
      </x:c>
      <x:c r="N105" s="17" t="str">
        <x:v>Supply-chain sustainability</x:v>
      </x:c>
      <x:c r="O105" s="17" t="str">
        <x:v>Data platform mapping supply chains and environmental impacts.</x:v>
      </x:c>
      <x:c r="P105" s="17" t="str">
        <x:v>Providence, RI</x:v>
      </x:c>
      <x:c r="Q105" s="17" t="str">
        <x:v>Yes</x:v>
      </x:c>
      <x:c r="R105" s="17" t="str">
        <x:v>Unknown</x:v>
      </x:c>
      <x:c r="S105" s="17" t="str">
        <x:v>Grants / private financing</x:v>
      </x:c>
      <x:c r="T105" s="17" t="str">
        <x:v>National Science Foundation; others</x:v>
      </x:c>
      <x:c r="U105" s="17" t="str">
        <x:v>Unknown</x:v>
      </x:c>
      <x:c r="V105" s="17" t="str">
        <x:v>None known</x:v>
      </x:c>
      <x:c r="W105" s="17" t="str">
        <x:v>Unknown</x:v>
      </x:c>
      <x:c r="X105" s="17" t="str">
        <x:v>Unknown</x:v>
      </x:c>
      <x:c r="Y105" s="17" t="str">
        <x:v>Unknown</x:v>
      </x:c>
      <x:c r="Z105" s="17" t="str">
        <x:v>Unknown</x:v>
      </x:c>
      <x:c r="AA105" s="17" t="str">
        <x:v>Unknown</x:v>
      </x:c>
      <x:c r="AB105" s="17" t="str">
        <x:v>Unknown</x:v>
      </x:c>
      <x:c r="AC105" s="17" t="str">
        <x:v>University program biography identifies Gupta as founder/CEO.</x:v>
      </x:c>
      <x:c r="AD105" s="17" t="str">
        <x:v>https://bpb-us-e2.wpmucdn.com/sites.utdallas.edu/dist/8/1090/files/2025/02/Sustainability-Certificate-Agenda-2.5.25-1.pdf</x:v>
      </x:c>
      <x:c r="AE105" s="17" t="str">
        <x:v>Unknown</x:v>
      </x:c>
      <x:c r="AF105" s="17" t="str">
        <x:v>University cross-search</x:v>
      </x:c>
      <x:c r="AG105" s="17" t="str">
        <x:v>University sustainability program</x:v>
      </x:c>
      <x:c r="AH105" s="17" t="str">
        <x:v>https://bpb-us-e2.wpmucdn.com/sites.utdallas.edu/dist/8/1090/files/2025/02/Sustainability-Certificate-Agenda-2.5.25-1.pdf</x:v>
      </x:c>
      <x:c r="AI105" s="18" t="n">
        <x:v>5</x:v>
      </x:c>
      <x:c r="AJ105" s="17" t="str">
        <x:v>Unknown</x:v>
      </x:c>
      <x:c r="AK105" s="17" t="str">
        <x:v>Rhode Island School of Design; Brown University</x:v>
      </x:c>
    </x:row>
    <x:row r="106" ht="44" customHeight="1">
      <x:c r="A106" s="17" t="str">
        <x:v>Tara Gupta</x:v>
      </x:c>
      <x:c r="B106" s="17" t="str">
        <x:v>Tara</x:v>
      </x:c>
      <x:c r="C106" s="17" t="str">
        <x:v>Gupta</x:v>
      </x:c>
      <x:c r="D106" s="18" t="str">
        <x:v>2014</x:v>
      </x:c>
      <x:c r="E106" s="17" t="str">
        <x:v>Confirmed</x:v>
      </x:c>
      <x:c r="F106" s="17" t="str">
        <x:v>A public professional profile reports TJHSST Class of 2014; a university program independently identifies her TJ education.</x:v>
      </x:c>
      <x:c r="G106" s="17" t="str">
        <x:v>https://theorg.com/org/map-collective/org-chart/tara-gupta</x:v>
      </x:c>
      <x:c r="H106" s="17" t="str">
        <x:v>Anamakos</x:v>
      </x:c>
      <x:c r="I106" s="17" t="str">
        <x:v>Unknown</x:v>
      </x:c>
      <x:c r="J106" s="17" t="str">
        <x:v>Founder</x:v>
      </x:c>
      <x:c r="K106" s="17" t="n">
        <x:v>2018</x:v>
      </x:c>
      <x:c r="L106" s="17" t="str">
        <x:v>Dormant</x:v>
      </x:c>
      <x:c r="M106" s="17" t="str">
        <x:v>Consumer</x:v>
      </x:c>
      <x:c r="N106" s="17" t="str">
        <x:v>Design studio</x:v>
      </x:c>
      <x:c r="O106" s="17" t="str">
        <x:v>Design and technology venture founded by Tara Gupta.</x:v>
      </x:c>
      <x:c r="P106" s="17" t="str">
        <x:v>Unknown</x:v>
      </x:c>
      <x:c r="Q106" s="17" t="str">
        <x:v>Bootstrapped</x:v>
      </x:c>
      <x:c r="R106" s="17" t="str">
        <x:v>Unknown</x:v>
      </x:c>
      <x:c r="S106" s="17" t="str">
        <x:v>Unknown</x:v>
      </x:c>
      <x:c r="T106" s="17" t="str">
        <x:v>Unknown</x:v>
      </x:c>
      <x:c r="U106" s="17" t="str">
        <x:v>None</x:v>
      </x:c>
      <x:c r="V106" s="17" t="str">
        <x:v>Dormant / status unclear</x:v>
      </x:c>
      <x:c r="W106" s="17" t="str">
        <x:v>Unknown</x:v>
      </x:c>
      <x:c r="X106" s="17" t="str">
        <x:v>Unknown</x:v>
      </x:c>
      <x:c r="Y106" s="17" t="str">
        <x:v>Former founder</x:v>
      </x:c>
      <x:c r="Z106" s="17" t="str">
        <x:v>Unknown</x:v>
      </x:c>
      <x:c r="AA106" s="17" t="str">
        <x:v>Unknown</x:v>
      </x:c>
      <x:c r="AB106" s="17" t="str">
        <x:v>Unknown</x:v>
      </x:c>
      <x:c r="AC106" s="17" t="str">
        <x:v>Professional biography identifies Gupta as Anamakos founder.</x:v>
      </x:c>
      <x:c r="AD106" s="17" t="str">
        <x:v>https://theorg.com/org/map-collective/org-chart/tara-gupta</x:v>
      </x:c>
      <x:c r="AE106" s="17" t="str">
        <x:v>Unknown</x:v>
      </x:c>
      <x:c r="AF106" s="17" t="str">
        <x:v>University cross-search</x:v>
      </x:c>
      <x:c r="AG106" s="17" t="str">
        <x:v>University sustainability program</x:v>
      </x:c>
      <x:c r="AH106" s="17" t="str">
        <x:v>https://bpb-us-e2.wpmucdn.com/sites.utdallas.edu/dist/8/1090/files/2025/02/Sustainability-Certificate-Agenda-2.5.25-1.pdf</x:v>
      </x:c>
      <x:c r="AI106" s="18" t="n">
        <x:v>3</x:v>
      </x:c>
      <x:c r="AJ106" s="17" t="str">
        <x:v>Unknown</x:v>
      </x:c>
      <x:c r="AK106" s="17" t="str">
        <x:v>Rhode Island School of Design; Brown University</x:v>
      </x:c>
    </x:row>
    <x:row r="107" ht="44" customHeight="1">
      <x:c r="A107" s="17" t="str">
        <x:v>Pooja Chandrashekar</x:v>
      </x:c>
      <x:c r="B107" s="17" t="str">
        <x:v>Pooja</x:v>
      </x:c>
      <x:c r="C107" s="17" t="str">
        <x:v>Chandrashekar</x:v>
      </x:c>
      <x:c r="D107" s="18" t="str">
        <x:v>2015</x:v>
      </x:c>
      <x:c r="E107" s="17" t="str">
        <x:v>Confirmed</x:v>
      </x:c>
      <x:c r="F107" s="17" t="str">
        <x:v>Contemporaneous coverage identifies Chandrashekar as a TJHSST student and later Class of 2015 alumna.</x:v>
      </x:c>
      <x:c r="G107" s="17" t="str">
        <x:v>https://washingtonexec.com/2014/12/stem-series-meet-tjhssts-pooja-chandrashekar-projectcsgirls-founder-ceo/</x:v>
      </x:c>
      <x:c r="H107" s="17" t="str">
        <x:v>ProjectCSGIRLS</x:v>
      </x:c>
      <x:c r="I107" s="17" t="str">
        <x:v>https://www.projectcsgirls.com/</x:v>
      </x:c>
      <x:c r="J107" s="17" t="str">
        <x:v>Founder and CEO</x:v>
      </x:c>
      <x:c r="K107" s="17" t="n">
        <x:v>2013</x:v>
      </x:c>
      <x:c r="L107" s="17" t="str">
        <x:v>Active</x:v>
      </x:c>
      <x:c r="M107" s="17" t="str">
        <x:v>Nonprofit</x:v>
      </x:c>
      <x:c r="N107" s="17" t="str">
        <x:v>Computer-science education</x:v>
      </x:c>
      <x:c r="O107" s="17" t="str">
        <x:v>National nonprofit encouraging middle-school girls in computer science and technology.</x:v>
      </x:c>
      <x:c r="P107" s="17" t="str">
        <x:v>Washington, DC</x:v>
      </x:c>
      <x:c r="Q107" s="17" t="str">
        <x:v>No</x:v>
      </x:c>
      <x:c r="R107" s="17" t="str">
        <x:v>Unknown</x:v>
      </x:c>
      <x:c r="S107" s="17" t="str">
        <x:v>Grants and donations</x:v>
      </x:c>
      <x:c r="T107" s="17" t="str">
        <x:v>Unknown</x:v>
      </x:c>
      <x:c r="U107" s="17" t="str">
        <x:v>None</x:v>
      </x:c>
      <x:c r="V107" s="17" t="str">
        <x:v>None known</x:v>
      </x:c>
      <x:c r="W107" s="17" t="str">
        <x:v>Unknown</x:v>
      </x:c>
      <x:c r="X107" s="17" t="str">
        <x:v>Unknown</x:v>
      </x:c>
      <x:c r="Y107" s="17" t="str">
        <x:v>Unknown</x:v>
      </x:c>
      <x:c r="Z107" s="17" t="str">
        <x:v>Unknown</x:v>
      </x:c>
      <x:c r="AA107" s="17" t="str">
        <x:v>Unknown</x:v>
      </x:c>
      <x:c r="AB107" s="17" t="str">
        <x:v>Unknown</x:v>
      </x:c>
      <x:c r="AC107" s="17" t="str">
        <x:v>Official organization page and contemporaneous profile identify Chandrashekar as founder.</x:v>
      </x:c>
      <x:c r="AD107" s="17" t="str">
        <x:v>https://www.projectcsgirls.com/who-we-are</x:v>
      </x:c>
      <x:c r="AE107" s="17" t="str">
        <x:v>Unknown</x:v>
      </x:c>
      <x:c r="AF107" s="17" t="str">
        <x:v>TJ/FCPS student publication</x:v>
      </x:c>
      <x:c r="AG107" s="17" t="str">
        <x:v>WashingtonExec TJ STEM profile</x:v>
      </x:c>
      <x:c r="AH107" s="17" t="str">
        <x:v>https://washingtonexec.com/2014/12/stem-series-meet-tjhssts-pooja-chandrashekar-projectcsgirls-founder-ceo/</x:v>
      </x:c>
      <x:c r="AI107" s="18" t="n">
        <x:v>5</x:v>
      </x:c>
      <x:c r="AJ107" s="17" t="str">
        <x:v>Unknown</x:v>
      </x:c>
      <x:c r="AK107" s="17" t="str">
        <x:v>Harvard University</x:v>
      </x:c>
    </x:row>
    <x:row r="108" ht="44" customHeight="1">
      <x:c r="A108" s="17" t="str">
        <x:v>Pooja Chandrashekar</x:v>
      </x:c>
      <x:c r="B108" s="17" t="str">
        <x:v>Pooja</x:v>
      </x:c>
      <x:c r="C108" s="17" t="str">
        <x:v>Chandrashekar</x:v>
      </x:c>
      <x:c r="D108" s="18" t="str">
        <x:v>2015</x:v>
      </x:c>
      <x:c r="E108" s="17" t="str">
        <x:v>Confirmed</x:v>
      </x:c>
      <x:c r="F108" s="17" t="str">
        <x:v>Contemporaneous coverage identifies Chandrashekar as a TJHSST student and later Class of 2015 alumna.</x:v>
      </x:c>
      <x:c r="G108" s="17" t="str">
        <x:v>https://washingtonexec.com/2014/12/stem-series-meet-tjhssts-pooja-chandrashekar-projectcsgirls-founder-ceo/</x:v>
      </x:c>
      <x:c r="H108" s="17" t="str">
        <x:v>Action and Civic Tech Scholars</x:v>
      </x:c>
      <x:c r="I108" s="17" t="str">
        <x:v>Unknown</x:v>
      </x:c>
      <x:c r="J108" s="17" t="str">
        <x:v>Co-founder</x:v>
      </x:c>
      <x:c r="K108" s="17" t="n">
        <x:v>2016</x:v>
      </x:c>
      <x:c r="L108" s="17" t="str">
        <x:v>Dormant</x:v>
      </x:c>
      <x:c r="M108" s="17" t="str">
        <x:v>Nonprofit</x:v>
      </x:c>
      <x:c r="N108" s="17" t="str">
        <x:v>Civic technology education</x:v>
      </x:c>
      <x:c r="O108" s="17" t="str">
        <x:v>Program co-founded to train young people in civic technology.</x:v>
      </x:c>
      <x:c r="P108" s="17" t="str">
        <x:v>Cambridge, MA</x:v>
      </x:c>
      <x:c r="Q108" s="17" t="str">
        <x:v>No</x:v>
      </x:c>
      <x:c r="R108" s="17" t="str">
        <x:v>Unknown</x:v>
      </x:c>
      <x:c r="S108" s="17" t="str">
        <x:v>Unknown</x:v>
      </x:c>
      <x:c r="T108" s="17" t="str">
        <x:v>Unknown</x:v>
      </x:c>
      <x:c r="U108" s="17" t="str">
        <x:v>None</x:v>
      </x:c>
      <x:c r="V108" s="17" t="str">
        <x:v>Dormant / status unclear</x:v>
      </x:c>
      <x:c r="W108" s="17" t="str">
        <x:v>Unknown</x:v>
      </x:c>
      <x:c r="X108" s="17" t="str">
        <x:v>Unknown</x:v>
      </x:c>
      <x:c r="Y108" s="17" t="str">
        <x:v>Former founder</x:v>
      </x:c>
      <x:c r="Z108" s="17" t="str">
        <x:v>Unknown</x:v>
      </x:c>
      <x:c r="AA108" s="17" t="str">
        <x:v>Unknown</x:v>
      </x:c>
      <x:c r="AB108" s="17" t="str">
        <x:v>Unknown</x:v>
      </x:c>
      <x:c r="AC108" s="17" t="str">
        <x:v>Public biography identifies Chandrashekar as co-founder.</x:v>
      </x:c>
      <x:c r="AD108" s="17" t="str">
        <x:v>https://washingtonexec.com/events/2016-k-12-stem-symposium-keynote-panel-highlight</x:v>
      </x:c>
      <x:c r="AE108" s="17" t="str">
        <x:v>Unknown</x:v>
      </x:c>
      <x:c r="AF108" s="17" t="str">
        <x:v>TJ/FCPS student publication</x:v>
      </x:c>
      <x:c r="AG108" s="17" t="str">
        <x:v>WashingtonExec TJ STEM profile</x:v>
      </x:c>
      <x:c r="AH108" s="17" t="str">
        <x:v>https://washingtonexec.com/2014/12/stem-series-meet-tjhssts-pooja-chandrashekar-projectcsgirls-founder-ceo/</x:v>
      </x:c>
      <x:c r="AI108" s="18" t="n">
        <x:v>3</x:v>
      </x:c>
      <x:c r="AJ108" s="17" t="str">
        <x:v>Unknown</x:v>
      </x:c>
      <x:c r="AK108" s="17" t="str">
        <x:v>Harvard University</x:v>
      </x:c>
    </x:row>
    <x:row r="109" ht="44" customHeight="1">
      <x:c r="A109" s="17" t="str">
        <x:v>Satvika Kumar</x:v>
      </x:c>
      <x:c r="B109" s="17" t="str">
        <x:v>Satvika</x:v>
      </x:c>
      <x:c r="C109" s="17" t="str">
        <x:v>Kumar</x:v>
      </x:c>
      <x:c r="D109" s="18" t="str"/>
      <x:c r="E109" s="17" t="str">
        <x:v>Unknown</x:v>
      </x:c>
      <x:c r="F109" s="17" t="str">
        <x:v>Contemporaneous coverage identifies Kumar as a TJHSST student founder; no reliable graduation year was located.</x:v>
      </x:c>
      <x:c r="G109" s="17" t="str">
        <x:v>https://washingtonexec.com/2014/12/meet-tjhssts-satvika-kumar-learning-pathways-project-inc-founder-principal/</x:v>
      </x:c>
      <x:c r="H109" s="17" t="str">
        <x:v>Learning Pathways Project</x:v>
      </x:c>
      <x:c r="I109" s="17" t="str">
        <x:v>Unknown</x:v>
      </x:c>
      <x:c r="J109" s="17" t="str">
        <x:v>Founder and principal</x:v>
      </x:c>
      <x:c r="K109" s="17" t="n">
        <x:v>2014</x:v>
      </x:c>
      <x:c r="L109" s="17" t="str">
        <x:v>Dormant</x:v>
      </x:c>
      <x:c r="M109" s="17" t="str">
        <x:v>Nonprofit</x:v>
      </x:c>
      <x:c r="N109" s="17" t="str">
        <x:v>Education</x:v>
      </x:c>
      <x:c r="O109" s="17" t="str">
        <x:v>Student-founded education nonprofit focused on learning pathways.</x:v>
      </x:c>
      <x:c r="P109" s="17" t="str">
        <x:v>Fairfax, VA</x:v>
      </x:c>
      <x:c r="Q109" s="17" t="str">
        <x:v>No</x:v>
      </x:c>
      <x:c r="R109" s="17" t="str">
        <x:v>Unknown</x:v>
      </x:c>
      <x:c r="S109" s="17" t="str">
        <x:v>Unknown</x:v>
      </x:c>
      <x:c r="T109" s="17" t="str">
        <x:v>Unknown</x:v>
      </x:c>
      <x:c r="U109" s="17" t="str">
        <x:v>None</x:v>
      </x:c>
      <x:c r="V109" s="17" t="str">
        <x:v>Dormant / status unclear</x:v>
      </x:c>
      <x:c r="W109" s="17" t="str">
        <x:v>Unknown</x:v>
      </x:c>
      <x:c r="X109" s="17" t="str">
        <x:v>Unknown</x:v>
      </x:c>
      <x:c r="Y109" s="17" t="str">
        <x:v>Former founder</x:v>
      </x:c>
      <x:c r="Z109" s="17" t="str">
        <x:v>Unknown</x:v>
      </x:c>
      <x:c r="AA109" s="17" t="str">
        <x:v>Unknown</x:v>
      </x:c>
      <x:c r="AB109" s="17" t="str">
        <x:v>Unknown</x:v>
      </x:c>
      <x:c r="AC109" s="17" t="str">
        <x:v>Contemporaneous profile identifies Kumar as founder/principal.</x:v>
      </x:c>
      <x:c r="AD109" s="17" t="str">
        <x:v>https://washingtonexec.com/2014/12/meet-tjhssts-satvika-kumar-learning-pathways-project-inc-founder-principal/</x:v>
      </x:c>
      <x:c r="AE109" s="17" t="str">
        <x:v>Unknown</x:v>
      </x:c>
      <x:c r="AF109" s="17" t="str">
        <x:v>TJ/FCPS student publication</x:v>
      </x:c>
      <x:c r="AG109" s="17" t="str">
        <x:v>WashingtonExec TJ STEM profile</x:v>
      </x:c>
      <x:c r="AH109" s="17" t="str">
        <x:v>https://washingtonexec.com/2014/12/meet-tjhssts-satvika-kumar-learning-pathways-project-inc-founder-principal/</x:v>
      </x:c>
      <x:c r="AI109" s="18" t="n">
        <x:v>4</x:v>
      </x:c>
      <x:c r="AJ109" s="17" t="str">
        <x:v>Unknown</x:v>
      </x:c>
      <x:c r="AK109" s="17" t="str">
        <x:v>Unknown</x:v>
      </x:c>
    </x:row>
    <x:row r="110" ht="44" customHeight="1">
      <x:c r="A110" s="17" t="str">
        <x:v>Damilola Awofisayo</x:v>
      </x:c>
      <x:c r="B110" s="17" t="str">
        <x:v>Damilola</x:v>
      </x:c>
      <x:c r="C110" s="17" t="str">
        <x:v>Awofisayo</x:v>
      </x:c>
      <x:c r="D110" s="18" t="str">
        <x:v>2022</x:v>
      </x:c>
      <x:c r="E110" s="17" t="str">
        <x:v>Confirmed</x:v>
      </x:c>
      <x:c r="F110" s="17" t="str">
        <x:v>Princeton’s alumni profile identifies Awofisayo as a 2022 senior at TJHSST.</x:v>
      </x:c>
      <x:c r="G110" s="17" t="str">
        <x:v>https://pprize.princeton.edu/people/damilola-awofisayo</x:v>
      </x:c>
      <x:c r="H110" s="17" t="str">
        <x:v>TecHacks</x:v>
      </x:c>
      <x:c r="I110" s="17" t="str">
        <x:v>https://techacks.co/</x:v>
      </x:c>
      <x:c r="J110" s="17" t="str">
        <x:v>Founder</x:v>
      </x:c>
      <x:c r="K110" s="17" t="n">
        <x:v>2020</x:v>
      </x:c>
      <x:c r="L110" s="17" t="str">
        <x:v>Active</x:v>
      </x:c>
      <x:c r="M110" s="17" t="str">
        <x:v>Nonprofit</x:v>
      </x:c>
      <x:c r="N110" s="17" t="str">
        <x:v>Hackathon</x:v>
      </x:c>
      <x:c r="O110" s="17" t="str">
        <x:v>Global hackathon and technology community created for underrepresented students.</x:v>
      </x:c>
      <x:c r="P110" s="17" t="str">
        <x:v>Fairfax, VA</x:v>
      </x:c>
      <x:c r="Q110" s="17" t="str">
        <x:v>No</x:v>
      </x:c>
      <x:c r="R110" s="17" t="str">
        <x:v>Unknown</x:v>
      </x:c>
      <x:c r="S110" s="17" t="str">
        <x:v>Sponsorships</x:v>
      </x:c>
      <x:c r="T110" s="17" t="str">
        <x:v>Unknown</x:v>
      </x:c>
      <x:c r="U110" s="17" t="str">
        <x:v>None</x:v>
      </x:c>
      <x:c r="V110" s="17" t="str">
        <x:v>None known</x:v>
      </x:c>
      <x:c r="W110" s="17" t="str">
        <x:v>Unknown</x:v>
      </x:c>
      <x:c r="X110" s="17" t="str">
        <x:v>Unknown</x:v>
      </x:c>
      <x:c r="Y110" s="17" t="str">
        <x:v>Unknown</x:v>
      </x:c>
      <x:c r="Z110" s="17" t="str">
        <x:v>Unknown</x:v>
      </x:c>
      <x:c r="AA110" s="17" t="str">
        <x:v>Unknown</x:v>
      </x:c>
      <x:c r="AB110" s="17" t="str">
        <x:v>Unknown</x:v>
      </x:c>
      <x:c r="AC110" s="17" t="str">
        <x:v>Princeton profile identifies Awofisayo as TecHacks founder.</x:v>
      </x:c>
      <x:c r="AD110" s="17" t="str">
        <x:v>https://pprize.princeton.edu/people/damilola-awofisayo</x:v>
      </x:c>
      <x:c r="AE110" s="17" t="str">
        <x:v>Unknown</x:v>
      </x:c>
      <x:c r="AF110" s="17" t="str">
        <x:v>University cross-search</x:v>
      </x:c>
      <x:c r="AG110" s="17" t="str">
        <x:v>Princeton alumni profile</x:v>
      </x:c>
      <x:c r="AH110" s="17" t="str">
        <x:v>https://pprize.princeton.edu/people/damilola-awofisayo</x:v>
      </x:c>
      <x:c r="AI110" s="18" t="n">
        <x:v>5</x:v>
      </x:c>
      <x:c r="AJ110" s="17" t="str">
        <x:v>Unknown</x:v>
      </x:c>
      <x:c r="AK110" s="17" t="str">
        <x:v>Princeton University</x:v>
      </x:c>
    </x:row>
    <x:row r="111" ht="44" customHeight="1">
      <x:c r="A111" s="17" t="str">
        <x:v>Tiffney Kathir</x:v>
      </x:c>
      <x:c r="B111" s="17" t="str">
        <x:v>Tiffney</x:v>
      </x:c>
      <x:c r="C111" s="17" t="str">
        <x:v>Kathir</x:v>
      </x:c>
      <x:c r="D111" s="18" t="str">
        <x:v>2014</x:v>
      </x:c>
      <x:c r="E111" s="17" t="str">
        <x:v>Confirmed</x:v>
      </x:c>
      <x:c r="F111" s="17" t="str">
        <x:v>FCPS alumni coverage identifies Kathir as TJHSST Class of 2014.</x:v>
      </x:c>
      <x:c r="G111" s="17" t="str">
        <x:v>https://content.govdelivery.com/accounts/VAEDUFCPS/bulletins/3e3321b</x:v>
      </x:c>
      <x:c r="H111" s="17" t="str">
        <x:v>Tilt Desserts</x:v>
      </x:c>
      <x:c r="I111" s="17" t="str">
        <x:v>Unknown</x:v>
      </x:c>
      <x:c r="J111" s="17" t="str">
        <x:v>Founder</x:v>
      </x:c>
      <x:c r="K111" s="17" t="n">
        <x:v>2020</x:v>
      </x:c>
      <x:c r="L111" s="17" t="str">
        <x:v>Active</x:v>
      </x:c>
      <x:c r="M111" s="17" t="str">
        <x:v>E-commerce</x:v>
      </x:c>
      <x:c r="N111" s="17" t="str">
        <x:v>Food and desserts</x:v>
      </x:c>
      <x:c r="O111" s="17" t="str">
        <x:v>Dessert business founded by TJ alumna Tiffney Kathir.</x:v>
      </x:c>
      <x:c r="P111" s="17" t="str">
        <x:v>Northern Virginia</x:v>
      </x:c>
      <x:c r="Q111" s="17" t="str">
        <x:v>Bootstrapped</x:v>
      </x:c>
      <x:c r="R111" s="17" t="str">
        <x:v>Unknown</x:v>
      </x:c>
      <x:c r="S111" s="17" t="str">
        <x:v>Unknown</x:v>
      </x:c>
      <x:c r="T111" s="17" t="str">
        <x:v>Unknown</x:v>
      </x:c>
      <x:c r="U111" s="17" t="str">
        <x:v>None</x:v>
      </x:c>
      <x:c r="V111" s="17" t="str">
        <x:v>None known</x:v>
      </x:c>
      <x:c r="W111" s="17" t="str">
        <x:v>Unknown</x:v>
      </x:c>
      <x:c r="X111" s="17" t="str">
        <x:v>Unknown</x:v>
      </x:c>
      <x:c r="Y111" s="17" t="str">
        <x:v>Unknown</x:v>
      </x:c>
      <x:c r="Z111" s="17" t="str">
        <x:v>Unknown</x:v>
      </x:c>
      <x:c r="AA111" s="17" t="str">
        <x:v>Unknown</x:v>
      </x:c>
      <x:c r="AB111" s="17" t="str">
        <x:v>Unknown</x:v>
      </x:c>
      <x:c r="AC111" s="17" t="str">
        <x:v>FCPS alumni coverage identifies Kathir as founder.</x:v>
      </x:c>
      <x:c r="AD111" s="17" t="str">
        <x:v>https://content.govdelivery.com/accounts/VAEDUFCPS/bulletins/3e3321b</x:v>
      </x:c>
      <x:c r="AE111" s="17" t="str">
        <x:v>Unknown</x:v>
      </x:c>
      <x:c r="AF111" s="17" t="str">
        <x:v>TJ/FCPS alumni publication</x:v>
      </x:c>
      <x:c r="AG111" s="17" t="str">
        <x:v>FCPS alumni newsletter</x:v>
      </x:c>
      <x:c r="AH111" s="17" t="str">
        <x:v>https://content.govdelivery.com/accounts/VAEDUFCPS/bulletins/3e3321b</x:v>
      </x:c>
      <x:c r="AI111" s="18" t="n">
        <x:v>4</x:v>
      </x:c>
      <x:c r="AJ111" s="17" t="str">
        <x:v>Unknown</x:v>
      </x:c>
      <x:c r="AK111" s="17" t="str">
        <x:v>Unknown</x:v>
      </x:c>
    </x:row>
    <x:row r="112" ht="44" customHeight="1">
      <x:c r="A112" s="17" t="str">
        <x:v>Joyce Meng</x:v>
      </x:c>
      <x:c r="B112" s="17" t="str">
        <x:v>Joyce</x:v>
      </x:c>
      <x:c r="C112" s="17" t="str">
        <x:v>Meng</x:v>
      </x:c>
      <x:c r="D112" s="18" t="str">
        <x:v>2004</x:v>
      </x:c>
      <x:c r="E112" s="17" t="str">
        <x:v>Strongly inferred</x:v>
      </x:c>
      <x:c r="F112" s="17" t="str">
        <x:v>National language-contest results place Meng at TJHSST in 2004; Penn’s class timeline supports a 2004 graduation.</x:v>
      </x:c>
      <x:c r="G112" s="17" t="str">
        <x:v>https://www.ncfl.org/uploads/7/3/2/8/7328308/ncfl_results_-_2004.pdf</x:v>
      </x:c>
      <x:c r="H112" s="17" t="str">
        <x:v>Givology</x:v>
      </x:c>
      <x:c r="I112" s="17" t="str">
        <x:v>https://www.givology.org/</x:v>
      </x:c>
      <x:c r="J112" s="17" t="str">
        <x:v>Co-founder and CEO</x:v>
      </x:c>
      <x:c r="K112" s="17" t="n">
        <x:v>2008</x:v>
      </x:c>
      <x:c r="L112" s="17" t="str">
        <x:v>Active</x:v>
      </x:c>
      <x:c r="M112" s="17" t="str">
        <x:v>Nonprofit</x:v>
      </x:c>
      <x:c r="N112" s="17" t="str">
        <x:v>Education philanthropy</x:v>
      </x:c>
      <x:c r="O112" s="17" t="str">
        <x:v>Volunteer-run education-giving marketplace supporting students and grassroots partners.</x:v>
      </x:c>
      <x:c r="P112" s="17" t="str">
        <x:v>Philadelphia, PA</x:v>
      </x:c>
      <x:c r="Q112" s="17" t="str">
        <x:v>No</x:v>
      </x:c>
      <x:c r="R112" s="17" t="str">
        <x:v>Unknown</x:v>
      </x:c>
      <x:c r="S112" s="17" t="str">
        <x:v>Donations</x:v>
      </x:c>
      <x:c r="T112" s="17" t="str">
        <x:v>Unknown</x:v>
      </x:c>
      <x:c r="U112" s="17" t="str">
        <x:v>None</x:v>
      </x:c>
      <x:c r="V112" s="17" t="str">
        <x:v>None known</x:v>
      </x:c>
      <x:c r="W112" s="17" t="str">
        <x:v>Unknown</x:v>
      </x:c>
      <x:c r="X112" s="17" t="str">
        <x:v>Unknown</x:v>
      </x:c>
      <x:c r="Y112" s="17" t="str">
        <x:v>Unknown</x:v>
      </x:c>
      <x:c r="Z112" s="17" t="str">
        <x:v>Unknown</x:v>
      </x:c>
      <x:c r="AA112" s="17" t="str">
        <x:v>https://www.joycemeng.com/</x:v>
      </x:c>
      <x:c r="AB112" s="17" t="str">
        <x:v>Unknown</x:v>
      </x:c>
      <x:c r="AC112" s="17" t="str">
        <x:v>Meng’s personal site and FCPS coverage identify her as Givology co-founder.</x:v>
      </x:c>
      <x:c r="AD112" s="17" t="str">
        <x:v>https://www.joycemeng.com/</x:v>
      </x:c>
      <x:c r="AE112" s="17" t="str">
        <x:v>Unknown</x:v>
      </x:c>
      <x:c r="AF112" s="17" t="str">
        <x:v>TJ/FCPS alumni publication</x:v>
      </x:c>
      <x:c r="AG112" s="17" t="str">
        <x:v>FCPS alumni newsletter</x:v>
      </x:c>
      <x:c r="AH112" s="17" t="str">
        <x:v>https://content.govdelivery.com/accounts/VAEDUFCPS/bulletins/41279b9</x:v>
      </x:c>
      <x:c r="AI112" s="18" t="n">
        <x:v>5</x:v>
      </x:c>
      <x:c r="AJ112" s="17" t="str">
        <x:v>Unknown</x:v>
      </x:c>
      <x:c r="AK112" s="17" t="str">
        <x:v>University of Pennsylvania; Harvard University</x:v>
      </x:c>
    </x:row>
    <x:row r="113" ht="44" customHeight="1">
      <x:c r="A113" s="17" t="str">
        <x:v>Joyce Meng</x:v>
      </x:c>
      <x:c r="B113" s="17" t="str">
        <x:v>Joyce</x:v>
      </x:c>
      <x:c r="C113" s="17" t="str">
        <x:v>Meng</x:v>
      </x:c>
      <x:c r="D113" s="18" t="str">
        <x:v>2004</x:v>
      </x:c>
      <x:c r="E113" s="17" t="str">
        <x:v>Strongly inferred</x:v>
      </x:c>
      <x:c r="F113" s="17" t="str">
        <x:v>National language-contest results place Meng at TJHSST in 2004; Penn’s class timeline supports a 2004 graduation.</x:v>
      </x:c>
      <x:c r="G113" s="17" t="str">
        <x:v>https://www.ncfl.org/uploads/7/3/2/8/7328308/ncfl_results_-_2004.pdf</x:v>
      </x:c>
      <x:c r="H113" s="17" t="str">
        <x:v>FACT Capital</x:v>
      </x:c>
      <x:c r="I113" s="17" t="str">
        <x:v>https://www.factcapital.com/</x:v>
      </x:c>
      <x:c r="J113" s="17" t="str">
        <x:v>Founder</x:v>
      </x:c>
      <x:c r="K113" s="17" t="n">
        <x:v>2023</x:v>
      </x:c>
      <x:c r="L113" s="17" t="str">
        <x:v>Active</x:v>
      </x:c>
      <x:c r="M113" s="17" t="str">
        <x:v>Venture Capital</x:v>
      </x:c>
      <x:c r="N113" s="17" t="str">
        <x:v>Investment firm</x:v>
      </x:c>
      <x:c r="O113" s="17" t="str">
        <x:v>Investment firm founded by Joyce Meng.</x:v>
      </x:c>
      <x:c r="P113" s="17" t="str">
        <x:v>Unknown</x:v>
      </x:c>
      <x:c r="Q113" s="17" t="str">
        <x:v>Unknown</x:v>
      </x:c>
      <x:c r="R113" s="17" t="str">
        <x:v>Unknown</x:v>
      </x:c>
      <x:c r="S113" s="17" t="str">
        <x:v>Unknown</x:v>
      </x:c>
      <x:c r="T113" s="17" t="str">
        <x:v>Unknown</x:v>
      </x:c>
      <x:c r="U113" s="17" t="str">
        <x:v>Unknown</x:v>
      </x:c>
      <x:c r="V113" s="17" t="str">
        <x:v>None known</x:v>
      </x:c>
      <x:c r="W113" s="17" t="str">
        <x:v>Unknown</x:v>
      </x:c>
      <x:c r="X113" s="17" t="str">
        <x:v>Unknown</x:v>
      </x:c>
      <x:c r="Y113" s="17" t="str">
        <x:v>Unknown</x:v>
      </x:c>
      <x:c r="Z113" s="17" t="str">
        <x:v>Unknown</x:v>
      </x:c>
      <x:c r="AA113" s="17" t="str">
        <x:v>https://www.joycemeng.com/</x:v>
      </x:c>
      <x:c r="AB113" s="17" t="str">
        <x:v>Unknown</x:v>
      </x:c>
      <x:c r="AC113" s="17" t="str">
        <x:v>Meng’s personal site identifies her as FACT Capital founder.</x:v>
      </x:c>
      <x:c r="AD113" s="17" t="str">
        <x:v>https://www.joycemeng.com/</x:v>
      </x:c>
      <x:c r="AE113" s="17" t="str">
        <x:v>Unknown</x:v>
      </x:c>
      <x:c r="AF113" s="17" t="str">
        <x:v>TJ/FCPS alumni publication</x:v>
      </x:c>
      <x:c r="AG113" s="17" t="str">
        <x:v>FCPS alumni newsletter</x:v>
      </x:c>
      <x:c r="AH113" s="17" t="str">
        <x:v>https://content.govdelivery.com/accounts/VAEDUFCPS/bulletins/41279b9</x:v>
      </x:c>
      <x:c r="AI113" s="18" t="n">
        <x:v>5</x:v>
      </x:c>
      <x:c r="AJ113" s="17" t="str">
        <x:v>Unknown</x:v>
      </x:c>
      <x:c r="AK113" s="17" t="str">
        <x:v>University of Pennsylvania; Harvard University</x:v>
      </x:c>
    </x:row>
    <x:row r="114" ht="44" customHeight="1">
      <x:c r="A114" s="17" t="str">
        <x:v>Kevin Cao</x:v>
      </x:c>
      <x:c r="B114" s="17" t="str">
        <x:v>Kevin</x:v>
      </x:c>
      <x:c r="C114" s="17" t="str">
        <x:v>Cao</x:v>
      </x:c>
      <x:c r="D114" s="18" t="str">
        <x:v>2013</x:v>
      </x:c>
      <x:c r="E114" s="17" t="str">
        <x:v>Strongly inferred</x:v>
      </x:c>
      <x:c r="F114" s="17" t="str">
        <x:v>The Washington Post identifies Cao as a TJHSST junior in 2011; 2013 is inferred from that grade-level record.</x:v>
      </x:c>
      <x:c r="G114" s="17" t="str">
        <x:v>https://www.washingtonpost.com/local/fairfax-high-school-students-GIVE-through-tutoring/2011/12/30/gIQApnr3RP_story.html</x:v>
      </x:c>
      <x:c r="H114" s="17" t="str">
        <x:v>GIVE</x:v>
      </x:c>
      <x:c r="I114" s="17" t="str">
        <x:v>Unknown</x:v>
      </x:c>
      <x:c r="J114" s="17" t="str">
        <x:v>Co-founder</x:v>
      </x:c>
      <x:c r="K114" s="17" t="n">
        <x:v>2010</x:v>
      </x:c>
      <x:c r="L114" s="17" t="str">
        <x:v>Active</x:v>
      </x:c>
      <x:c r="M114" s="17" t="str">
        <x:v>Nonprofit</x:v>
      </x:c>
      <x:c r="N114" s="17" t="str">
        <x:v>Peer tutoring</x:v>
      </x:c>
      <x:c r="O114" s="17" t="str">
        <x:v>Growth and Inspiration through Volunteering and Education, a student-led tutoring nonprofit.</x:v>
      </x:c>
      <x:c r="P114" s="17" t="str">
        <x:v>Northern Virginia</x:v>
      </x:c>
      <x:c r="Q114" s="17" t="str">
        <x:v>No</x:v>
      </x:c>
      <x:c r="R114" s="17" t="str">
        <x:v>Unknown</x:v>
      </x:c>
      <x:c r="S114" s="17" t="str">
        <x:v>Donations</x:v>
      </x:c>
      <x:c r="T114" s="17" t="str">
        <x:v>Unknown</x:v>
      </x:c>
      <x:c r="U114" s="17" t="str">
        <x:v>None</x:v>
      </x:c>
      <x:c r="V114" s="17" t="str">
        <x:v>None known</x:v>
      </x:c>
      <x:c r="W114" s="17" t="str">
        <x:v>Unknown</x:v>
      </x:c>
      <x:c r="X114" s="17" t="str">
        <x:v>Unknown</x:v>
      </x:c>
      <x:c r="Y114" s="17" t="str">
        <x:v>Unknown</x:v>
      </x:c>
      <x:c r="Z114" s="17" t="str">
        <x:v>Unknown</x:v>
      </x:c>
      <x:c r="AA114" s="17" t="str">
        <x:v>Unknown</x:v>
      </x:c>
      <x:c r="AB114" s="17" t="str">
        <x:v>Unknown</x:v>
      </x:c>
      <x:c r="AC114" s="17" t="str">
        <x:v>Contemporaneous Washington Post coverage identifies Cao as co-founder.</x:v>
      </x:c>
      <x:c r="AD114" s="17" t="str">
        <x:v>https://www.washingtonpost.com/local/fairfax-high-school-students-GIVE-through-tutoring/2011/12/30/gIQApnr3RP_story.html</x:v>
      </x:c>
      <x:c r="AE114" s="17" t="str">
        <x:v>Unknown</x:v>
      </x:c>
      <x:c r="AF114" s="17" t="str">
        <x:v>Young-founder search</x:v>
      </x:c>
      <x:c r="AG114" s="17" t="str">
        <x:v>Washington Post student-founder profile</x:v>
      </x:c>
      <x:c r="AH114" s="17" t="str">
        <x:v>https://www.tjhsst.network/alumni</x:v>
      </x:c>
      <x:c r="AI114" s="18" t="n">
        <x:v>5</x:v>
      </x:c>
      <x:c r="AJ114" s="17" t="str">
        <x:v>Unknown</x:v>
      </x:c>
      <x:c r="AK114" s="17" t="str">
        <x:v>Unknown</x:v>
      </x:c>
    </x:row>
    <x:row r="115" ht="44" customHeight="1">
      <x:c r="A115" s="17" t="str">
        <x:v>Rohith Yelisetty</x:v>
      </x:c>
      <x:c r="B115" s="17" t="str">
        <x:v>Rohith</x:v>
      </x:c>
      <x:c r="C115" s="17" t="str">
        <x:v>Yelisetty</x:v>
      </x:c>
      <x:c r="D115" s="18" t="str">
        <x:v>2025</x:v>
      </x:c>
      <x:c r="E115" s="17" t="str">
        <x:v>Confirmed</x:v>
      </x:c>
      <x:c r="F115" s="17" t="str">
        <x:v>CoCA’s team page identifies Yelisetty as a TJHSST Class of 2025 co-founder.</x:v>
      </x:c>
      <x:c r="G115" s="17" t="str">
        <x:v>https://cocawalk.com/aboutus.html</x:v>
      </x:c>
      <x:c r="H115" s="17" t="str">
        <x:v>Connected Crosswalk Assistance (CoCA)</x:v>
      </x:c>
      <x:c r="I115" s="17" t="str">
        <x:v>https://cocawalk.com/</x:v>
      </x:c>
      <x:c r="J115" s="17" t="str">
        <x:v>Co-founder and CEO</x:v>
      </x:c>
      <x:c r="K115" s="17" t="n">
        <x:v>2023</x:v>
      </x:c>
      <x:c r="L115" s="17" t="str">
        <x:v>Active</x:v>
      </x:c>
      <x:c r="M115" s="17" t="str">
        <x:v>Hardware</x:v>
      </x:c>
      <x:c r="N115" s="17" t="str">
        <x:v>Pedestrian safety</x:v>
      </x:c>
      <x:c r="O115" s="17" t="str">
        <x:v>Student-founded connected-crosswalk safety system.</x:v>
      </x:c>
      <x:c r="P115" s="17" t="str">
        <x:v>Fairfax, VA</x:v>
      </x:c>
      <x:c r="Q115" s="17" t="str">
        <x:v>No</x:v>
      </x:c>
      <x:c r="R115" s="17" t="str">
        <x:v>Unknown</x:v>
      </x:c>
      <x:c r="S115" s="17" t="str">
        <x:v>Competitions / grants</x:v>
      </x:c>
      <x:c r="T115" s="17" t="str">
        <x:v>Unknown</x:v>
      </x:c>
      <x:c r="U115" s="17" t="str">
        <x:v>Unknown</x:v>
      </x:c>
      <x:c r="V115" s="17" t="str">
        <x:v>None known</x:v>
      </x:c>
      <x:c r="W115" s="17" t="str">
        <x:v>Unknown</x:v>
      </x:c>
      <x:c r="X115" s="17" t="str">
        <x:v>Unknown</x:v>
      </x:c>
      <x:c r="Y115" s="17" t="str">
        <x:v>Unknown</x:v>
      </x:c>
      <x:c r="Z115" s="17" t="str">
        <x:v>Unknown</x:v>
      </x:c>
      <x:c r="AA115" s="17" t="str">
        <x:v>Unknown</x:v>
      </x:c>
      <x:c r="AB115" s="17" t="str">
        <x:v>Unknown</x:v>
      </x:c>
      <x:c r="AC115" s="17" t="str">
        <x:v>CoCA’s official team page identifies the student co-founders and roles.</x:v>
      </x:c>
      <x:c r="AD115" s="17" t="str">
        <x:v>https://cocawalk.com/aboutus.html</x:v>
      </x:c>
      <x:c r="AE115" s="17" t="str">
        <x:v>Unknown</x:v>
      </x:c>
      <x:c r="AF115" s="17" t="str">
        <x:v>Young-founder search</x:v>
      </x:c>
      <x:c r="AG115" s="17" t="str">
        <x:v>CoCA team page</x:v>
      </x:c>
      <x:c r="AH115" s="17" t="str">
        <x:v>https://www.tjhsst.network/alumni</x:v>
      </x:c>
      <x:c r="AI115" s="18" t="n">
        <x:v>5</x:v>
      </x:c>
      <x:c r="AJ115" s="17" t="str">
        <x:v>Unknown</x:v>
      </x:c>
      <x:c r="AK115" s="17" t="str">
        <x:v>Unknown</x:v>
      </x:c>
    </x:row>
    <x:row r="116" ht="44" customHeight="1">
      <x:c r="A116" s="17" t="str">
        <x:v>Tanush Kallem</x:v>
      </x:c>
      <x:c r="B116" s="17" t="str">
        <x:v>Tanush</x:v>
      </x:c>
      <x:c r="C116" s="17" t="str">
        <x:v>Kallem</x:v>
      </x:c>
      <x:c r="D116" s="18" t="str">
        <x:v>2025</x:v>
      </x:c>
      <x:c r="E116" s="17" t="str">
        <x:v>Confirmed</x:v>
      </x:c>
      <x:c r="F116" s="17" t="str">
        <x:v>CoCA’s team page identifies Kallem as a TJHSST Class of 2025 co-founder.</x:v>
      </x:c>
      <x:c r="G116" s="17" t="str">
        <x:v>https://cocawalk.com/aboutus.html</x:v>
      </x:c>
      <x:c r="H116" s="17" t="str">
        <x:v>Connected Crosswalk Assistance (CoCA)</x:v>
      </x:c>
      <x:c r="I116" s="17" t="str">
        <x:v>https://cocawalk.com/</x:v>
      </x:c>
      <x:c r="J116" s="17" t="str">
        <x:v>Co-founder and COO</x:v>
      </x:c>
      <x:c r="K116" s="17" t="n">
        <x:v>2023</x:v>
      </x:c>
      <x:c r="L116" s="17" t="str">
        <x:v>Active</x:v>
      </x:c>
      <x:c r="M116" s="17" t="str">
        <x:v>Hardware</x:v>
      </x:c>
      <x:c r="N116" s="17" t="str">
        <x:v>Pedestrian safety</x:v>
      </x:c>
      <x:c r="O116" s="17" t="str">
        <x:v>Student-founded connected-crosswalk safety system.</x:v>
      </x:c>
      <x:c r="P116" s="17" t="str">
        <x:v>Fairfax, VA</x:v>
      </x:c>
      <x:c r="Q116" s="17" t="str">
        <x:v>No</x:v>
      </x:c>
      <x:c r="R116" s="17" t="str">
        <x:v>Unknown</x:v>
      </x:c>
      <x:c r="S116" s="17" t="str">
        <x:v>Competitions / grants</x:v>
      </x:c>
      <x:c r="T116" s="17" t="str">
        <x:v>Unknown</x:v>
      </x:c>
      <x:c r="U116" s="17" t="str">
        <x:v>Unknown</x:v>
      </x:c>
      <x:c r="V116" s="17" t="str">
        <x:v>None known</x:v>
      </x:c>
      <x:c r="W116" s="17" t="str">
        <x:v>Unknown</x:v>
      </x:c>
      <x:c r="X116" s="17" t="str">
        <x:v>Unknown</x:v>
      </x:c>
      <x:c r="Y116" s="17" t="str">
        <x:v>Unknown</x:v>
      </x:c>
      <x:c r="Z116" s="17" t="str">
        <x:v>Unknown</x:v>
      </x:c>
      <x:c r="AA116" s="17" t="str">
        <x:v>Unknown</x:v>
      </x:c>
      <x:c r="AB116" s="17" t="str">
        <x:v>Unknown</x:v>
      </x:c>
      <x:c r="AC116" s="17" t="str">
        <x:v>CoCA’s official team page identifies the student co-founders and roles.</x:v>
      </x:c>
      <x:c r="AD116" s="17" t="str">
        <x:v>https://cocawalk.com/aboutus.html</x:v>
      </x:c>
      <x:c r="AE116" s="17" t="str">
        <x:v>Unknown</x:v>
      </x:c>
      <x:c r="AF116" s="17" t="str">
        <x:v>Young-founder search</x:v>
      </x:c>
      <x:c r="AG116" s="17" t="str">
        <x:v>CoCA team page</x:v>
      </x:c>
      <x:c r="AH116" s="17" t="str">
        <x:v>https://www.tjhsst.network/alumni</x:v>
      </x:c>
      <x:c r="AI116" s="18" t="n">
        <x:v>5</x:v>
      </x:c>
      <x:c r="AJ116" s="17" t="str">
        <x:v>Unknown</x:v>
      </x:c>
      <x:c r="AK116" s="17" t="str">
        <x:v>Unknown</x:v>
      </x:c>
    </x:row>
    <x:row r="117" ht="44" customHeight="1">
      <x:c r="A117" s="17" t="str">
        <x:v>Adithiya Balaguru</x:v>
      </x:c>
      <x:c r="B117" s="17" t="str">
        <x:v>Adithiya</x:v>
      </x:c>
      <x:c r="C117" s="17" t="str">
        <x:v>Balaguru</x:v>
      </x:c>
      <x:c r="D117" s="18" t="str">
        <x:v>2025</x:v>
      </x:c>
      <x:c r="E117" s="17" t="str">
        <x:v>Strongly inferred</x:v>
      </x:c>
      <x:c r="F117" s="17" t="str">
        <x:v>CoCA’s team page identifies Balaguru as a TJHSST co-founder and junior alongside the Class of 2025 team.</x:v>
      </x:c>
      <x:c r="G117" s="17" t="str">
        <x:v>https://cocawalk.com/aboutus.html</x:v>
      </x:c>
      <x:c r="H117" s="17" t="str">
        <x:v>Connected Crosswalk Assistance (CoCA)</x:v>
      </x:c>
      <x:c r="I117" s="17" t="str">
        <x:v>https://cocawalk.com/</x:v>
      </x:c>
      <x:c r="J117" s="17" t="str">
        <x:v>Co-founder and CFO</x:v>
      </x:c>
      <x:c r="K117" s="17" t="n">
        <x:v>2023</x:v>
      </x:c>
      <x:c r="L117" s="17" t="str">
        <x:v>Active</x:v>
      </x:c>
      <x:c r="M117" s="17" t="str">
        <x:v>Hardware</x:v>
      </x:c>
      <x:c r="N117" s="17" t="str">
        <x:v>Pedestrian safety</x:v>
      </x:c>
      <x:c r="O117" s="17" t="str">
        <x:v>Student-founded connected-crosswalk safety system.</x:v>
      </x:c>
      <x:c r="P117" s="17" t="str">
        <x:v>Fairfax, VA</x:v>
      </x:c>
      <x:c r="Q117" s="17" t="str">
        <x:v>No</x:v>
      </x:c>
      <x:c r="R117" s="17" t="str">
        <x:v>Unknown</x:v>
      </x:c>
      <x:c r="S117" s="17" t="str">
        <x:v>Competitions / grants</x:v>
      </x:c>
      <x:c r="T117" s="17" t="str">
        <x:v>Unknown</x:v>
      </x:c>
      <x:c r="U117" s="17" t="str">
        <x:v>Unknown</x:v>
      </x:c>
      <x:c r="V117" s="17" t="str">
        <x:v>None known</x:v>
      </x:c>
      <x:c r="W117" s="17" t="str">
        <x:v>Unknown</x:v>
      </x:c>
      <x:c r="X117" s="17" t="str">
        <x:v>Unknown</x:v>
      </x:c>
      <x:c r="Y117" s="17" t="str">
        <x:v>Unknown</x:v>
      </x:c>
      <x:c r="Z117" s="17" t="str">
        <x:v>Unknown</x:v>
      </x:c>
      <x:c r="AA117" s="17" t="str">
        <x:v>Unknown</x:v>
      </x:c>
      <x:c r="AB117" s="17" t="str">
        <x:v>Unknown</x:v>
      </x:c>
      <x:c r="AC117" s="17" t="str">
        <x:v>CoCA’s official team page identifies the student co-founders and roles.</x:v>
      </x:c>
      <x:c r="AD117" s="17" t="str">
        <x:v>https://cocawalk.com/aboutus.html</x:v>
      </x:c>
      <x:c r="AE117" s="17" t="str">
        <x:v>Unknown</x:v>
      </x:c>
      <x:c r="AF117" s="17" t="str">
        <x:v>Young-founder search</x:v>
      </x:c>
      <x:c r="AG117" s="17" t="str">
        <x:v>CoCA team page</x:v>
      </x:c>
      <x:c r="AH117" s="17" t="str">
        <x:v>https://www.tjhsst.network/alumni</x:v>
      </x:c>
      <x:c r="AI117" s="18" t="n">
        <x:v>5</x:v>
      </x:c>
      <x:c r="AJ117" s="17" t="str">
        <x:v>Unknown</x:v>
      </x:c>
      <x:c r="AK117" s="17" t="str">
        <x:v>Unknown</x:v>
      </x:c>
    </x:row>
    <x:row r="118" ht="44" customHeight="1">
      <x:c r="A118" s="17" t="str">
        <x:v>Arnav Bhalla</x:v>
      </x:c>
      <x:c r="B118" s="17" t="str">
        <x:v>Arnav</x:v>
      </x:c>
      <x:c r="C118" s="17" t="str">
        <x:v>Bhalla</x:v>
      </x:c>
      <x:c r="D118" s="18" t="str">
        <x:v>2025</x:v>
      </x:c>
      <x:c r="E118" s="17" t="str">
        <x:v>Confirmed</x:v>
      </x:c>
      <x:c r="F118" s="17" t="str">
        <x:v>CoCA’s team page identifies Bhalla as a TJHSST Class of 2025 co-founder.</x:v>
      </x:c>
      <x:c r="G118" s="17" t="str">
        <x:v>https://cocawalk.com/aboutus.html</x:v>
      </x:c>
      <x:c r="H118" s="17" t="str">
        <x:v>Connected Crosswalk Assistance (CoCA)</x:v>
      </x:c>
      <x:c r="I118" s="17" t="str">
        <x:v>https://cocawalk.com/</x:v>
      </x:c>
      <x:c r="J118" s="17" t="str">
        <x:v>Co-founder and CMO</x:v>
      </x:c>
      <x:c r="K118" s="17" t="n">
        <x:v>2023</x:v>
      </x:c>
      <x:c r="L118" s="17" t="str">
        <x:v>Active</x:v>
      </x:c>
      <x:c r="M118" s="17" t="str">
        <x:v>Hardware</x:v>
      </x:c>
      <x:c r="N118" s="17" t="str">
        <x:v>Pedestrian safety</x:v>
      </x:c>
      <x:c r="O118" s="17" t="str">
        <x:v>Student-founded connected-crosswalk safety system.</x:v>
      </x:c>
      <x:c r="P118" s="17" t="str">
        <x:v>Fairfax, VA</x:v>
      </x:c>
      <x:c r="Q118" s="17" t="str">
        <x:v>No</x:v>
      </x:c>
      <x:c r="R118" s="17" t="str">
        <x:v>Unknown</x:v>
      </x:c>
      <x:c r="S118" s="17" t="str">
        <x:v>Competitions / grants</x:v>
      </x:c>
      <x:c r="T118" s="17" t="str">
        <x:v>Unknown</x:v>
      </x:c>
      <x:c r="U118" s="17" t="str">
        <x:v>Unknown</x:v>
      </x:c>
      <x:c r="V118" s="17" t="str">
        <x:v>None known</x:v>
      </x:c>
      <x:c r="W118" s="17" t="str">
        <x:v>Unknown</x:v>
      </x:c>
      <x:c r="X118" s="17" t="str">
        <x:v>Unknown</x:v>
      </x:c>
      <x:c r="Y118" s="17" t="str">
        <x:v>Unknown</x:v>
      </x:c>
      <x:c r="Z118" s="17" t="str">
        <x:v>Unknown</x:v>
      </x:c>
      <x:c r="AA118" s="17" t="str">
        <x:v>Unknown</x:v>
      </x:c>
      <x:c r="AB118" s="17" t="str">
        <x:v>Unknown</x:v>
      </x:c>
      <x:c r="AC118" s="17" t="str">
        <x:v>CoCA’s official team page identifies the student co-founders and roles.</x:v>
      </x:c>
      <x:c r="AD118" s="17" t="str">
        <x:v>https://cocawalk.com/aboutus.html</x:v>
      </x:c>
      <x:c r="AE118" s="17" t="str">
        <x:v>Unknown</x:v>
      </x:c>
      <x:c r="AF118" s="17" t="str">
        <x:v>Young-founder search</x:v>
      </x:c>
      <x:c r="AG118" s="17" t="str">
        <x:v>CoCA team page</x:v>
      </x:c>
      <x:c r="AH118" s="17" t="str">
        <x:v>https://www.tjhsst.network/alumni</x:v>
      </x:c>
      <x:c r="AI118" s="18" t="n">
        <x:v>5</x:v>
      </x:c>
      <x:c r="AJ118" s="17" t="str">
        <x:v>Unknown</x:v>
      </x:c>
      <x:c r="AK118" s="17" t="str">
        <x:v>Unknown</x:v>
      </x:c>
    </x:row>
    <x:row r="119" ht="44" customHeight="1">
      <x:c r="A119" s="17" t="str">
        <x:v>Anirudh Mantha</x:v>
      </x:c>
      <x:c r="B119" s="17" t="str">
        <x:v>Anirudh</x:v>
      </x:c>
      <x:c r="C119" s="17" t="str">
        <x:v>Mantha</x:v>
      </x:c>
      <x:c r="D119" s="18" t="str">
        <x:v>2024</x:v>
      </x:c>
      <x:c r="E119" s="17" t="str">
        <x:v>Confirmed</x:v>
      </x:c>
      <x:c r="F119" s="17" t="str">
        <x:v>CoCA’s team page identifies Mantha as a TJHSST Class of 2024 co-founder.</x:v>
      </x:c>
      <x:c r="G119" s="17" t="str">
        <x:v>https://cocawalk.com/aboutus.html</x:v>
      </x:c>
      <x:c r="H119" s="17" t="str">
        <x:v>Connected Crosswalk Assistance (CoCA)</x:v>
      </x:c>
      <x:c r="I119" s="17" t="str">
        <x:v>https://cocawalk.com/</x:v>
      </x:c>
      <x:c r="J119" s="17" t="str">
        <x:v>Co-founder and CTO</x:v>
      </x:c>
      <x:c r="K119" s="17" t="n">
        <x:v>2023</x:v>
      </x:c>
      <x:c r="L119" s="17" t="str">
        <x:v>Active</x:v>
      </x:c>
      <x:c r="M119" s="17" t="str">
        <x:v>Hardware</x:v>
      </x:c>
      <x:c r="N119" s="17" t="str">
        <x:v>Pedestrian safety</x:v>
      </x:c>
      <x:c r="O119" s="17" t="str">
        <x:v>Student-founded connected-crosswalk safety system.</x:v>
      </x:c>
      <x:c r="P119" s="17" t="str">
        <x:v>Fairfax, VA</x:v>
      </x:c>
      <x:c r="Q119" s="17" t="str">
        <x:v>No</x:v>
      </x:c>
      <x:c r="R119" s="17" t="str">
        <x:v>Unknown</x:v>
      </x:c>
      <x:c r="S119" s="17" t="str">
        <x:v>Competitions / grants</x:v>
      </x:c>
      <x:c r="T119" s="17" t="str">
        <x:v>Unknown</x:v>
      </x:c>
      <x:c r="U119" s="17" t="str">
        <x:v>Unknown</x:v>
      </x:c>
      <x:c r="V119" s="17" t="str">
        <x:v>None known</x:v>
      </x:c>
      <x:c r="W119" s="17" t="str">
        <x:v>Unknown</x:v>
      </x:c>
      <x:c r="X119" s="17" t="str">
        <x:v>Unknown</x:v>
      </x:c>
      <x:c r="Y119" s="17" t="str">
        <x:v>Unknown</x:v>
      </x:c>
      <x:c r="Z119" s="17" t="str">
        <x:v>Unknown</x:v>
      </x:c>
      <x:c r="AA119" s="17" t="str">
        <x:v>Unknown</x:v>
      </x:c>
      <x:c r="AB119" s="17" t="str">
        <x:v>Unknown</x:v>
      </x:c>
      <x:c r="AC119" s="17" t="str">
        <x:v>CoCA’s official team page identifies the student co-founders and roles.</x:v>
      </x:c>
      <x:c r="AD119" s="17" t="str">
        <x:v>https://cocawalk.com/aboutus.html</x:v>
      </x:c>
      <x:c r="AE119" s="17" t="str">
        <x:v>Unknown</x:v>
      </x:c>
      <x:c r="AF119" s="17" t="str">
        <x:v>Young-founder search</x:v>
      </x:c>
      <x:c r="AG119" s="17" t="str">
        <x:v>CoCA team page</x:v>
      </x:c>
      <x:c r="AH119" s="17" t="str">
        <x:v>https://www.tjhsst.network/alumni</x:v>
      </x:c>
      <x:c r="AI119" s="18" t="n">
        <x:v>5</x:v>
      </x:c>
      <x:c r="AJ119" s="17" t="str">
        <x:v>Unknown</x:v>
      </x:c>
      <x:c r="AK119" s="17" t="str">
        <x:v>Unknown</x:v>
      </x:c>
    </x:row>
    <x:row r="120" ht="44" customHeight="1">
      <x:c r="A120" s="17" t="str">
        <x:v>Abhishek Bhargava</x:v>
      </x:c>
      <x:c r="B120" s="17" t="str">
        <x:v>Abhishek</x:v>
      </x:c>
      <x:c r="C120" s="17" t="str">
        <x:v>Bhargava</x:v>
      </x:c>
      <x:c r="D120" s="18" t="str">
        <x:v>2016</x:v>
      </x:c>
      <x:c r="E120" s="17" t="str">
        <x:v>Strongly inferred</x:v>
      </x:c>
      <x:c r="F120" s="17" t="str">
        <x:v>School/PTA records place Bhargava at TJHSST as a freshman in 2012; 2016 follows directly from the grade-level timeline.</x:v>
      </x:c>
      <x:c r="G120" s="17" t="str">
        <x:v>https://www.mantuapta.org/documents/dtf/2012-13/an/Alert101612.pdf</x:v>
      </x:c>
      <x:c r="H120" s="17" t="str">
        <x:v>Vectordash</x:v>
      </x:c>
      <x:c r="I120" s="17" t="str">
        <x:v>Unknown</x:v>
      </x:c>
      <x:c r="J120" s="17" t="str">
        <x:v>Co-founder</x:v>
      </x:c>
      <x:c r="K120" s="17" t="n">
        <x:v>2018</x:v>
      </x:c>
      <x:c r="L120" s="17" t="str">
        <x:v>Acquired</x:v>
      </x:c>
      <x:c r="M120" s="17" t="str">
        <x:v>Gaming</x:v>
      </x:c>
      <x:c r="N120" s="17" t="str">
        <x:v>Cloud gaming</x:v>
      </x:c>
      <x:c r="O120" s="17" t="str">
        <x:v>Cloud-gaming service founded by Abhishek Bhargava.</x:v>
      </x:c>
      <x:c r="P120" s="17" t="str">
        <x:v>San Francisco, CA</x:v>
      </x:c>
      <x:c r="Q120" s="17" t="str">
        <x:v>Yes</x:v>
      </x:c>
      <x:c r="R120" s="17" t="str">
        <x:v>Unknown</x:v>
      </x:c>
      <x:c r="S120" s="17" t="str">
        <x:v>Seed</x:v>
      </x:c>
      <x:c r="T120" s="17" t="str">
        <x:v>Y Combinator; others</x:v>
      </x:c>
      <x:c r="U120" s="17" t="str">
        <x:v>Y Combinator S18</x:v>
      </x:c>
      <x:c r="V120" s="17" t="str">
        <x:v>Acquired</x:v>
      </x:c>
      <x:c r="W120" s="17" t="str">
        <x:v>Unknown</x:v>
      </x:c>
      <x:c r="X120" s="17" t="str">
        <x:v>Unknown</x:v>
      </x:c>
      <x:c r="Y120" s="17" t="str">
        <x:v>Former founder</x:v>
      </x:c>
      <x:c r="Z120" s="17" t="str">
        <x:v>Unknown</x:v>
      </x:c>
      <x:c r="AA120" s="17" t="str">
        <x:v>Unknown</x:v>
      </x:c>
      <x:c r="AB120" s="17" t="str">
        <x:v>Unknown</x:v>
      </x:c>
      <x:c r="AC120" s="17" t="str">
        <x:v>Founder biographies identify Bhargava’s founder roles.</x:v>
      </x:c>
      <x:c r="AD120" s="17" t="str">
        <x:v>https://www.crunchbase.com/person/abhishek-bhargava</x:v>
      </x:c>
      <x:c r="AE120" s="17" t="str">
        <x:v>https://abhishekbhargava.substack.com/p/cant-believe-its-been-15-years</x:v>
      </x:c>
      <x:c r="AF120" s="17" t="str">
        <x:v>Recursive founder-network expansion</x:v>
      </x:c>
      <x:c r="AG120" s="17" t="str">
        <x:v>TJ founder biography expansion</x:v>
      </x:c>
      <x:c r="AH120" s="17" t="str">
        <x:v>https://abhishekbhargava.substack.com/p/cant-believe-its-been-15-years</x:v>
      </x:c>
      <x:c r="AI120" s="18" t="n">
        <x:v>3</x:v>
      </x:c>
      <x:c r="AJ120" s="17" t="str">
        <x:v>Unknown</x:v>
      </x:c>
      <x:c r="AK120" s="17" t="str">
        <x:v>Harvard University</x:v>
      </x:c>
    </x:row>
    <x:row r="121" ht="44" customHeight="1">
      <x:c r="A121" s="17" t="str">
        <x:v>Abhishek Bhargava</x:v>
      </x:c>
      <x:c r="B121" s="17" t="str">
        <x:v>Abhishek</x:v>
      </x:c>
      <x:c r="C121" s="17" t="str">
        <x:v>Bhargava</x:v>
      </x:c>
      <x:c r="D121" s="18" t="str">
        <x:v>2016</x:v>
      </x:c>
      <x:c r="E121" s="17" t="str">
        <x:v>Strongly inferred</x:v>
      </x:c>
      <x:c r="F121" s="17" t="str">
        <x:v>School/PTA records place Bhargava at TJHSST as a freshman in 2012; 2016 follows directly from the grade-level timeline.</x:v>
      </x:c>
      <x:c r="G121" s="17" t="str">
        <x:v>https://www.mantuapta.org/documents/dtf/2012-13/an/Alert101612.pdf</x:v>
      </x:c>
      <x:c r="H121" s="17" t="str">
        <x:v>Covalent</x:v>
      </x:c>
      <x:c r="I121" s="17" t="str">
        <x:v>Unknown</x:v>
      </x:c>
      <x:c r="J121" s="17" t="str">
        <x:v>Co-founder</x:v>
      </x:c>
      <x:c r="K121" s="17" t="n">
        <x:v>2020</x:v>
      </x:c>
      <x:c r="L121" s="17" t="str">
        <x:v>Acquired</x:v>
      </x:c>
      <x:c r="M121" s="17" t="str">
        <x:v>Artificial Intelligence</x:v>
      </x:c>
      <x:c r="N121" s="17" t="str">
        <x:v>Machine-learning operations</x:v>
      </x:c>
      <x:c r="O121" s="17" t="str">
        <x:v>Machine-learning infrastructure startup founded by Abhishek Bhargava.</x:v>
      </x:c>
      <x:c r="P121" s="17" t="str">
        <x:v>San Francisco, CA</x:v>
      </x:c>
      <x:c r="Q121" s="17" t="str">
        <x:v>Yes</x:v>
      </x:c>
      <x:c r="R121" s="17" t="str">
        <x:v>Unknown</x:v>
      </x:c>
      <x:c r="S121" s="17" t="str">
        <x:v>Seed</x:v>
      </x:c>
      <x:c r="T121" s="17" t="str">
        <x:v>Unknown</x:v>
      </x:c>
      <x:c r="U121" s="17" t="str">
        <x:v>Unknown</x:v>
      </x:c>
      <x:c r="V121" s="17" t="str">
        <x:v>Acquired</x:v>
      </x:c>
      <x:c r="W121" s="17" t="str">
        <x:v>Unknown</x:v>
      </x:c>
      <x:c r="X121" s="17" t="str">
        <x:v>Unknown</x:v>
      </x:c>
      <x:c r="Y121" s="17" t="str">
        <x:v>Former founder</x:v>
      </x:c>
      <x:c r="Z121" s="17" t="str">
        <x:v>Unknown</x:v>
      </x:c>
      <x:c r="AA121" s="17" t="str">
        <x:v>Unknown</x:v>
      </x:c>
      <x:c r="AB121" s="17" t="str">
        <x:v>Unknown</x:v>
      </x:c>
      <x:c r="AC121" s="17" t="str">
        <x:v>Founder biographies identify Bhargava’s founder roles.</x:v>
      </x:c>
      <x:c r="AD121" s="17" t="str">
        <x:v>https://www.crunchbase.com/person/abhishek-bhargava</x:v>
      </x:c>
      <x:c r="AE121" s="17" t="str">
        <x:v>https://abhishekbhargava.substack.com/p/cant-believe-its-been-15-years</x:v>
      </x:c>
      <x:c r="AF121" s="17" t="str">
        <x:v>Recursive founder-network expansion</x:v>
      </x:c>
      <x:c r="AG121" s="17" t="str">
        <x:v>TJ founder biography expansion</x:v>
      </x:c>
      <x:c r="AH121" s="17" t="str">
        <x:v>https://abhishekbhargava.substack.com/p/cant-believe-its-been-15-years</x:v>
      </x:c>
      <x:c r="AI121" s="18" t="n">
        <x:v>3</x:v>
      </x:c>
      <x:c r="AJ121" s="17" t="str">
        <x:v>Unknown</x:v>
      </x:c>
      <x:c r="AK121" s="17" t="str">
        <x:v>Harvard University</x:v>
      </x:c>
    </x:row>
    <x:row r="122" ht="44" customHeight="1">
      <x:c r="A122" s="17" t="str">
        <x:v>Abhishek Bhargava</x:v>
      </x:c>
      <x:c r="B122" s="17" t="str">
        <x:v>Abhishek</x:v>
      </x:c>
      <x:c r="C122" s="17" t="str">
        <x:v>Bhargava</x:v>
      </x:c>
      <x:c r="D122" s="18" t="str">
        <x:v>2016</x:v>
      </x:c>
      <x:c r="E122" s="17" t="str">
        <x:v>Strongly inferred</x:v>
      </x:c>
      <x:c r="F122" s="17" t="str">
        <x:v>School/PTA records place Bhargava at TJHSST as a freshman in 2012; 2016 follows directly from the grade-level timeline.</x:v>
      </x:c>
      <x:c r="G122" s="17" t="str">
        <x:v>https://www.mantuapta.org/documents/dtf/2012-13/an/Alert101612.pdf</x:v>
      </x:c>
      <x:c r="H122" s="17" t="str">
        <x:v>BetterBrain</x:v>
      </x:c>
      <x:c r="I122" s="17" t="str">
        <x:v>Unknown</x:v>
      </x:c>
      <x:c r="J122" s="17" t="str">
        <x:v>Founder</x:v>
      </x:c>
      <x:c r="K122" s="17" t="n">
        <x:v>2023</x:v>
      </x:c>
      <x:c r="L122" s="17" t="str">
        <x:v>Active</x:v>
      </x:c>
      <x:c r="M122" s="17" t="str">
        <x:v>Healthcare</x:v>
      </x:c>
      <x:c r="N122" s="17" t="str">
        <x:v>Digital health</x:v>
      </x:c>
      <x:c r="O122" s="17" t="str">
        <x:v>Cognitive-health and performance company founded by Abhishek Bhargava.</x:v>
      </x:c>
      <x:c r="P122" s="17" t="str">
        <x:v>Unknown</x:v>
      </x:c>
      <x:c r="Q122" s="17" t="str">
        <x:v>Unknown</x:v>
      </x:c>
      <x:c r="R122" s="17" t="str">
        <x:v>Unknown</x:v>
      </x:c>
      <x:c r="S122" s="17" t="str">
        <x:v>Unknown</x:v>
      </x:c>
      <x:c r="T122" s="17" t="str">
        <x:v>Unknown</x:v>
      </x:c>
      <x:c r="U122" s="17" t="str">
        <x:v>Unknown</x:v>
      </x:c>
      <x:c r="V122" s="17" t="str">
        <x:v>None known</x:v>
      </x:c>
      <x:c r="W122" s="17" t="str">
        <x:v>Unknown</x:v>
      </x:c>
      <x:c r="X122" s="17" t="str">
        <x:v>Unknown</x:v>
      </x:c>
      <x:c r="Y122" s="17" t="str">
        <x:v>Unknown</x:v>
      </x:c>
      <x:c r="Z122" s="17" t="str">
        <x:v>Unknown</x:v>
      </x:c>
      <x:c r="AA122" s="17" t="str">
        <x:v>Unknown</x:v>
      </x:c>
      <x:c r="AB122" s="17" t="str">
        <x:v>Unknown</x:v>
      </x:c>
      <x:c r="AC122" s="17" t="str">
        <x:v>Founder biographies identify Bhargava’s founder roles.</x:v>
      </x:c>
      <x:c r="AD122" s="17" t="str">
        <x:v>https://www.crunchbase.com/person/abhishek-bhargava</x:v>
      </x:c>
      <x:c r="AE122" s="17" t="str">
        <x:v>https://abhishekbhargava.substack.com/p/cant-believe-its-been-15-years</x:v>
      </x:c>
      <x:c r="AF122" s="17" t="str">
        <x:v>Recursive founder-network expansion</x:v>
      </x:c>
      <x:c r="AG122" s="17" t="str">
        <x:v>TJ founder biography expansion</x:v>
      </x:c>
      <x:c r="AH122" s="17" t="str">
        <x:v>https://abhishekbhargava.substack.com/p/cant-believe-its-been-15-years</x:v>
      </x:c>
      <x:c r="AI122" s="18" t="n">
        <x:v>3</x:v>
      </x:c>
      <x:c r="AJ122" s="17" t="str">
        <x:v>Unknown</x:v>
      </x:c>
      <x:c r="AK122" s="17" t="str">
        <x:v>Harvard University</x:v>
      </x:c>
    </x:row>
    <x:row r="123" ht="44" customHeight="1">
      <x:c r="A123" s="17" t="str">
        <x:v>Alex Talamonti</x:v>
      </x:c>
      <x:c r="B123" s="17" t="str">
        <x:v>Alex</x:v>
      </x:c>
      <x:c r="C123" s="17" t="str">
        <x:v>Talamonti</x:v>
      </x:c>
      <x:c r="D123" s="18" t="str">
        <x:v>2021</x:v>
      </x:c>
      <x:c r="E123" s="17" t="str">
        <x:v>Strongly inferred</x:v>
      </x:c>
      <x:c r="F123" s="17" t="str">
        <x:v>Talamonti publicly states that he and Jason He met at TJHSST; 2021 is inferred from their 2021–25 university timelines.</x:v>
      </x:c>
      <x:c r="G123" s="17" t="str">
        <x:v>https://www.linkedin.com/in/alexander-talamonti</x:v>
      </x:c>
      <x:c r="H123" s="17" t="str">
        <x:v>Quotain (Eden AI)</x:v>
      </x:c>
      <x:c r="I123" s="17" t="str">
        <x:v>https://www.quotain.com/</x:v>
      </x:c>
      <x:c r="J123" s="17" t="str">
        <x:v>Co-founder</x:v>
      </x:c>
      <x:c r="K123" s="17" t="n">
        <x:v>2025</x:v>
      </x:c>
      <x:c r="L123" s="17" t="str">
        <x:v>Active</x:v>
      </x:c>
      <x:c r="M123" s="17" t="str">
        <x:v>Artificial Intelligence</x:v>
      </x:c>
      <x:c r="N123" s="17" t="str">
        <x:v>AI market intelligence</x:v>
      </x:c>
      <x:c r="O123" s="17" t="str">
        <x:v>YC S25 company building AI tools for market and investment research; also branded Eden AI.</x:v>
      </x:c>
      <x:c r="P123" s="17" t="str">
        <x:v>San Francisco, CA</x:v>
      </x:c>
      <x:c r="Q123" s="17" t="str">
        <x:v>Yes</x:v>
      </x:c>
      <x:c r="R123" s="17" t="str">
        <x:v>Unknown</x:v>
      </x:c>
      <x:c r="S123" s="17" t="str">
        <x:v>YC S25</x:v>
      </x:c>
      <x:c r="T123" s="17" t="str">
        <x:v>Y Combinator</x:v>
      </x:c>
      <x:c r="U123" s="17" t="str">
        <x:v>Y Combinator S25</x:v>
      </x:c>
      <x:c r="V123" s="17" t="str">
        <x:v>None known</x:v>
      </x:c>
      <x:c r="W123" s="17" t="str">
        <x:v>Unknown</x:v>
      </x:c>
      <x:c r="X123" s="17" t="str">
        <x:v>Unknown</x:v>
      </x:c>
      <x:c r="Y123" s="17" t="str">
        <x:v>Unknown</x:v>
      </x:c>
      <x:c r="Z123" s="17" t="str">
        <x:v>Unknown</x:v>
      </x:c>
      <x:c r="AA123" s="17" t="str">
        <x:v>Unknown</x:v>
      </x:c>
      <x:c r="AB123" s="17" t="str">
        <x:v>Unknown</x:v>
      </x:c>
      <x:c r="AC123" s="17" t="str">
        <x:v>Y Combinator and founder profiles identify Talamonti and He as co-founders.</x:v>
      </x:c>
      <x:c r="AD123" s="17" t="str">
        <x:v>https://www.ycombinator.com/companies/quotain/jobs</x:v>
      </x:c>
      <x:c r="AE123" s="17" t="str">
        <x:v>https://www.quotain.com/about</x:v>
      </x:c>
      <x:c r="AF123" s="17" t="str">
        <x:v>Recursive founder-network expansion</x:v>
      </x:c>
      <x:c r="AG123" s="17" t="str">
        <x:v>Sophia Kianni network expansion</x:v>
      </x:c>
      <x:c r="AH123" s="17" t="str">
        <x:v>https://www.linkedin.com/in/alexander-talamonti</x:v>
      </x:c>
      <x:c r="AI123" s="18" t="n">
        <x:v>4</x:v>
      </x:c>
      <x:c r="AJ123" s="17" t="str">
        <x:v>Unknown</x:v>
      </x:c>
      <x:c r="AK123" s="17" t="str">
        <x:v>New York University</x:v>
      </x:c>
    </x:row>
    <x:row r="124" ht="44" customHeight="1">
      <x:c r="A124" s="17" t="str">
        <x:v>Jason He</x:v>
      </x:c>
      <x:c r="B124" s="17" t="str">
        <x:v>Jason</x:v>
      </x:c>
      <x:c r="C124" s="17" t="str">
        <x:v>He</x:v>
      </x:c>
      <x:c r="D124" s="18" t="str">
        <x:v>2021</x:v>
      </x:c>
      <x:c r="E124" s="17" t="str">
        <x:v>Strongly inferred</x:v>
      </x:c>
      <x:c r="F124" s="17" t="str">
        <x:v>Talamonti publicly states that he and Jason He met at TJHSST; 2021 is inferred from their 2021–25 university timelines.</x:v>
      </x:c>
      <x:c r="G124" s="17" t="str">
        <x:v>https://www.linkedin.com/in/alexander-talamonti</x:v>
      </x:c>
      <x:c r="H124" s="17" t="str">
        <x:v>Quotain (Eden AI)</x:v>
      </x:c>
      <x:c r="I124" s="17" t="str">
        <x:v>https://www.quotain.com/</x:v>
      </x:c>
      <x:c r="J124" s="17" t="str">
        <x:v>Co-founder</x:v>
      </x:c>
      <x:c r="K124" s="17" t="n">
        <x:v>2025</x:v>
      </x:c>
      <x:c r="L124" s="17" t="str">
        <x:v>Active</x:v>
      </x:c>
      <x:c r="M124" s="17" t="str">
        <x:v>Artificial Intelligence</x:v>
      </x:c>
      <x:c r="N124" s="17" t="str">
        <x:v>AI market intelligence</x:v>
      </x:c>
      <x:c r="O124" s="17" t="str">
        <x:v>YC S25 company building AI tools for market and investment research; also branded Eden AI.</x:v>
      </x:c>
      <x:c r="P124" s="17" t="str">
        <x:v>San Francisco, CA</x:v>
      </x:c>
      <x:c r="Q124" s="17" t="str">
        <x:v>Yes</x:v>
      </x:c>
      <x:c r="R124" s="17" t="str">
        <x:v>Unknown</x:v>
      </x:c>
      <x:c r="S124" s="17" t="str">
        <x:v>YC S25</x:v>
      </x:c>
      <x:c r="T124" s="17" t="str">
        <x:v>Y Combinator</x:v>
      </x:c>
      <x:c r="U124" s="17" t="str">
        <x:v>Y Combinator S25</x:v>
      </x:c>
      <x:c r="V124" s="17" t="str">
        <x:v>None known</x:v>
      </x:c>
      <x:c r="W124" s="17" t="str">
        <x:v>Unknown</x:v>
      </x:c>
      <x:c r="X124" s="17" t="str">
        <x:v>Unknown</x:v>
      </x:c>
      <x:c r="Y124" s="17" t="str">
        <x:v>Unknown</x:v>
      </x:c>
      <x:c r="Z124" s="17" t="str">
        <x:v>Unknown</x:v>
      </x:c>
      <x:c r="AA124" s="17" t="str">
        <x:v>Unknown</x:v>
      </x:c>
      <x:c r="AB124" s="17" t="str">
        <x:v>Unknown</x:v>
      </x:c>
      <x:c r="AC124" s="17" t="str">
        <x:v>Y Combinator and founder profiles identify Talamonti and He as co-founders.</x:v>
      </x:c>
      <x:c r="AD124" s="17" t="str">
        <x:v>https://www.ycombinator.com/companies/quotain/jobs</x:v>
      </x:c>
      <x:c r="AE124" s="17" t="str">
        <x:v>https://www.quotain.com/about</x:v>
      </x:c>
      <x:c r="AF124" s="17" t="str">
        <x:v>Recursive founder-network expansion</x:v>
      </x:c>
      <x:c r="AG124" s="17" t="str">
        <x:v>Sophia Kianni network expansion</x:v>
      </x:c>
      <x:c r="AH124" s="17" t="str">
        <x:v>https://www.linkedin.com/in/alexander-talamonti</x:v>
      </x:c>
      <x:c r="AI124" s="18" t="n">
        <x:v>4</x:v>
      </x:c>
      <x:c r="AJ124" s="17" t="str">
        <x:v>Unknown</x:v>
      </x:c>
      <x:c r="AK124" s="17" t="str">
        <x:v>University of Virginia</x:v>
      </x:c>
    </x:row>
    <x:row r="125" ht="44" customHeight="1">
      <x:c r="A125" s="17" t="str">
        <x:v>Ana Malhotra</x:v>
      </x:c>
      <x:c r="B125" s="17" t="str">
        <x:v>Ana</x:v>
      </x:c>
      <x:c r="C125" s="17" t="str">
        <x:v>Malhotra</x:v>
      </x:c>
      <x:c r="D125" s="18" t="str">
        <x:v>2015</x:v>
      </x:c>
      <x:c r="E125" s="17" t="str">
        <x:v>Confirmed</x:v>
      </x:c>
      <x:c r="F125" s="17" t="str">
        <x:v>Malhotra’s public post explicitly identifies her as a TJHSST 2015 graduate.</x:v>
      </x:c>
      <x:c r="G125" s="17" t="str">
        <x:v>https://www.linkedin.com/posts/ana-malhotra_gooooocolonials-activity-7315055780871774210-wXNo</x:v>
      </x:c>
      <x:c r="H125" s="17" t="str">
        <x:v>Rome</x:v>
      </x:c>
      <x:c r="I125" s="17" t="str">
        <x:v>Unknown</x:v>
      </x:c>
      <x:c r="J125" s="17" t="str">
        <x:v>Founder and CEO</x:v>
      </x:c>
      <x:c r="K125" s="17" t="n">
        <x:v>2024</x:v>
      </x:c>
      <x:c r="L125" s="17" t="str">
        <x:v>Active</x:v>
      </x:c>
      <x:c r="M125" s="17" t="str">
        <x:v>Consumer</x:v>
      </x:c>
      <x:c r="N125" s="17" t="str">
        <x:v>Travel technology</x:v>
      </x:c>
      <x:c r="O125" s="17" t="str">
        <x:v>Travel technology startup founded and led by Ana Malhotra.</x:v>
      </x:c>
      <x:c r="P125" s="17" t="str">
        <x:v>New York, NY</x:v>
      </x:c>
      <x:c r="Q125" s="17" t="str">
        <x:v>Unknown</x:v>
      </x:c>
      <x:c r="R125" s="17" t="str">
        <x:v>Unknown</x:v>
      </x:c>
      <x:c r="S125" s="17" t="str">
        <x:v>Unknown</x:v>
      </x:c>
      <x:c r="T125" s="17" t="str">
        <x:v>Unknown</x:v>
      </x:c>
      <x:c r="U125" s="17" t="str">
        <x:v>Unknown</x:v>
      </x:c>
      <x:c r="V125" s="17" t="str">
        <x:v>None known</x:v>
      </x:c>
      <x:c r="W125" s="17" t="str">
        <x:v>Unknown</x:v>
      </x:c>
      <x:c r="X125" s="17" t="str">
        <x:v>Unknown</x:v>
      </x:c>
      <x:c r="Y125" s="17" t="str">
        <x:v>Unknown</x:v>
      </x:c>
      <x:c r="Z125" s="17" t="str">
        <x:v>https://www.linkedin.com/in/ana-malhotra</x:v>
      </x:c>
      <x:c r="AA125" s="17" t="str">
        <x:v>Unknown</x:v>
      </x:c>
      <x:c r="AB125" s="17" t="str">
        <x:v>Unknown</x:v>
      </x:c>
      <x:c r="AC125" s="17" t="str">
        <x:v>Malhotra’s professional profile identifies her as Rome founder/CEO.</x:v>
      </x:c>
      <x:c r="AD125" s="17" t="str">
        <x:v>https://www.linkedin.com/in/ana-malhotra</x:v>
      </x:c>
      <x:c r="AE125" s="17" t="str">
        <x:v>Unknown</x:v>
      </x:c>
      <x:c r="AF125" s="17" t="str">
        <x:v>LinkedIn/biography cross-search</x:v>
      </x:c>
      <x:c r="AG125" s="17" t="str">
        <x:v>Founder LinkedIn post</x:v>
      </x:c>
      <x:c r="AH125" s="17" t="str">
        <x:v>https://www.linkedin.com/posts/ana-malhotra_gooooocolonials-activity-7315055780871774210-wXNo</x:v>
      </x:c>
      <x:c r="AI125" s="18" t="n">
        <x:v>4</x:v>
      </x:c>
      <x:c r="AJ125" s="17" t="str">
        <x:v>Unknown</x:v>
      </x:c>
      <x:c r="AK125" s="17" t="str">
        <x:v>George Washington University</x:v>
      </x:c>
    </x:row>
  </x:sheetData>
  <x:mergeCells>
    <x:mergeCell ref="A1:AK1"/>
    <x:mergeCell ref="A2:AK2"/>
  </x:mergeCells>
  <x:conditionalFormatting sqref="AI4:AI125">
    <x:cfRule type="cellIs" dxfId="0" priority="1" operator="greaterThanOrEqual">
      <x:formula>5</x:formula>
    </x:cfRule>
    <x:cfRule type="cellIs" dxfId="1" priority="2" operator="equal">
      <x:formula>4</x:formula>
    </x:cfRule>
    <x:cfRule type="cellIs" dxfId="2" priority="3" operator="equal">
      <x:formula>3</x:formula>
    </x:cfRule>
  </x:conditionalFormatting>
  <x:conditionalFormatting sqref="L4:L125">
    <x:cfRule type="containsText" dxfId="3" priority="4" operator="containsText" text="Active"/>
    <x:cfRule type="containsText" dxfId="4" priority="5" operator="containsText" text="Public"/>
    <x:cfRule type="containsText" dxfId="5" priority="6" operator="containsText" text="Acquired"/>
    <x:cfRule type="containsText" dxfId="6" priority="7" operator="containsText" text="Closed"/>
    <x:cfRule type="containsText" dxfId="7" priority="8" operator="containsText" text="Dormant"/>
  </x:conditionalFormatting>
  <x:pageMargins left="0.7" right="0.7" top="0.75" bottom="0.75" header="0.3" footer="0.3"/>
  <x:tableParts count="1">
    <x:tablePart xmlns:r="http://schemas.openxmlformats.org/officeDocument/2006/relationships" r:id="R160c8ad3804c445d"/>
  </x:tableParts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3" hidden="0" customWidth="1"/>
    <x:col min="4" max="4" width="15" hidden="0" customWidth="1"/>
    <x:col min="5" max="5" width="45" hidden="0" customWidth="1"/>
    <x:col min="6" max="6" width="30" hidden="0" customWidth="1"/>
    <x:col min="7" max="7" width="28" hidden="0" customWidth="1"/>
    <x:col min="8" max="8" width="30" hidden="0" customWidth="1"/>
    <x:col min="9" max="9" width="14" hidden="0" customWidth="1"/>
  </x:cols>
  <x:sheetData>
    <x:row r="1" ht="30" customHeight="1">
      <x:c r="A1" s="4" t="str">
        <x:v>Founders Summary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7" t="str">
        <x:v>Founder-level rollup and cohort/discovery analysis. Counts are deduplicated by canonical founder identity.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3" t="str">
        <x:v>Metric</x:v>
      </x:c>
      <x:c r="B4" s="13" t="str">
        <x:v>Value</x:v>
      </x:c>
      <x:c r="D4" s="13" t="str">
        <x:v>Graduation decade</x:v>
      </x:c>
      <x:c r="E4" s="13" t="str">
        <x:v>Founder count</x:v>
      </x:c>
    </x:row>
    <x:row r="5">
      <x:c r="A5" s="20" t="str">
        <x:v>Verified unique founders</x:v>
      </x:c>
      <x:c r="B5" s="20" t="n">
        <x:f>COUNTA(A13:A83)</x:f>
        <x:v>71</x:v>
      </x:c>
      <x:c r="D5" s="22" t="str">
        <x:v>Unknown</x:v>
      </x:c>
      <x:c r="E5" s="22" t="n">
        <x:v>18</x:v>
      </x:c>
    </x:row>
    <x:row r="6">
      <x:c r="A6" s="20" t="str">
        <x:v>Founder–company records</x:v>
      </x:c>
      <x:c r="B6" s="20" t="n">
        <x:f>COUNTA('Verified Founders'!A4:A125)</x:f>
        <x:v>122</x:v>
      </x:c>
      <x:c r="D6" s="22" t="str">
        <x:v>2020s</x:v>
      </x:c>
      <x:c r="E6" s="22" t="n">
        <x:v>17</x:v>
      </x:c>
    </x:row>
    <x:row r="7">
      <x:c r="A7" s="20" t="str">
        <x:v>Repeat founders (2+ companies)</x:v>
      </x:c>
      <x:c r="B7" s="20" t="n">
        <x:f>COUNTIF(D13:D83,"&gt;=2")</x:f>
        <x:v>25</x:v>
      </x:c>
      <x:c r="D7" s="22" t="str">
        <x:v>2010s</x:v>
      </x:c>
      <x:c r="E7" s="22" t="n">
        <x:v>15</x:v>
      </x:c>
    </x:row>
    <x:row r="8">
      <x:c r="A8" s="20" t="str">
        <x:v>Known graduation year</x:v>
      </x:c>
      <x:c r="B8" s="20" t="n">
        <x:f>COUNT(B13:B83)</x:f>
        <x:v>53</x:v>
      </x:c>
      <x:c r="D8" s="22" t="str">
        <x:v>1990s</x:v>
      </x:c>
      <x:c r="E8" s="22" t="n">
        <x:v>12</x:v>
      </x:c>
    </x:row>
    <x:row r="9">
      <x:c r="A9" s="20" t="str">
        <x:v>Chappy Asel-origin leads</x:v>
      </x:c>
      <x:c r="B9" s="20" t="n">
        <x:v>3</x:v>
      </x:c>
      <x:c r="D9" s="22" t="str">
        <x:v>2000s</x:v>
      </x:c>
      <x:c r="E9" s="22" t="n">
        <x:v>9</x:v>
      </x:c>
    </x:row>
    <x:row r="10">
      <x:c r="A10" s="20" t="str">
        <x:v>Howard Lerman-origin leads</x:v>
      </x:c>
      <x:c r="B10" s="20" t="n">
        <x:v>6</x:v>
      </x:c>
    </x:row>
    <x:row r="12" ht="32" customHeight="1">
      <x:c r="A12" s="13" t="str">
        <x:v>founder_name</x:v>
      </x:c>
      <x:c r="B12" s="13" t="str">
        <x:v>graduation_year</x:v>
      </x:c>
      <x:c r="C12" s="13" t="str">
        <x:v>decade</x:v>
      </x:c>
      <x:c r="D12" s="13" t="str">
        <x:v>company_count</x:v>
      </x:c>
      <x:c r="E12" s="13" t="str">
        <x:v>companies</x:v>
      </x:c>
      <x:c r="F12" s="13" t="str">
        <x:v>universities_attended</x:v>
      </x:c>
      <x:c r="G12" s="13" t="str">
        <x:v>discovery_method</x:v>
      </x:c>
      <x:c r="H12" s="13" t="str">
        <x:v>discovered_via</x:v>
      </x:c>
      <x:c r="I12" s="13" t="str">
        <x:v>minimum_confidence</x:v>
      </x:c>
    </x:row>
    <x:row r="13">
      <x:c r="A13" s="17" t="str">
        <x:v>Ravi Shankar</x:v>
      </x:c>
      <x:c r="B13" s="17" t="str">
        <x:v>1992</x:v>
      </x:c>
      <x:c r="C13" s="17" t="str">
        <x:v>1990s</x:v>
      </x:c>
      <x:c r="D13" s="17" t="n">
        <x:v>1</x:v>
      </x:c>
      <x:c r="E13" s="17" t="str">
        <x:v>Drunken Boat</x:v>
      </x:c>
      <x:c r="F13" s="17" t="str">
        <x:v>Unknown</x:v>
      </x:c>
      <x:c r="G13" s="17" t="str">
        <x:v>Historical alumni archive</x:v>
      </x:c>
      <x:c r="H13" s="17" t="str">
        <x:v>Archived TJHSST alumni list</x:v>
      </x:c>
      <x:c r="I13" s="17" t="n">
        <x:v>4</x:v>
      </x:c>
    </x:row>
    <x:row r="14">
      <x:c r="A14" s="17" t="str">
        <x:v>Josh Jones</x:v>
      </x:c>
      <x:c r="B14" s="17" t="str">
        <x:v>1994</x:v>
      </x:c>
      <x:c r="C14" s="17" t="str">
        <x:v>1990s</x:v>
      </x:c>
      <x:c r="D14" s="17" t="n">
        <x:v>3</x:v>
      </x:c>
      <x:c r="E14" s="17" t="str">
        <x:v>DreamHost; ePub Bud; HMC INQ</x:v>
      </x:c>
      <x:c r="F14" s="17" t="str">
        <x:v>Harvey Mudd College</x:v>
      </x:c>
      <x:c r="G14" s="17" t="str">
        <x:v>Historical-company search</x:v>
      </x:c>
      <x:c r="H14" s="17" t="str">
        <x:v>Public regulatory filing</x:v>
      </x:c>
      <x:c r="I14" s="17" t="n">
        <x:v>5</x:v>
      </x:c>
    </x:row>
    <x:row r="15">
      <x:c r="A15" s="17" t="str">
        <x:v>Anthony Myint</x:v>
      </x:c>
      <x:c r="B15" s="17" t="str">
        <x:v>1995</x:v>
      </x:c>
      <x:c r="C15" s="17" t="str">
        <x:v>1990s</x:v>
      </x:c>
      <x:c r="D15" s="17" t="n">
        <x:v>6</x:v>
      </x:c>
      <x:c r="E15" s="17" t="str">
        <x:v>Mission Street Food; Mission Chinese Food; Mission Burger; Mission Cantina; Commonwealth; The Perennial</x:v>
      </x:c>
      <x:c r="F15" s="17" t="str">
        <x:v>Unknown</x:v>
      </x:c>
      <x:c r="G15" s="17" t="str">
        <x:v>Historical alumni archive</x:v>
      </x:c>
      <x:c r="H15" s="17" t="str">
        <x:v>TJHSST Founders Initiative</x:v>
      </x:c>
      <x:c r="I15" s="17" t="n">
        <x:v>3</x:v>
      </x:c>
    </x:row>
    <x:row r="16">
      <x:c r="A16" s="17" t="str">
        <x:v>Evan Burfield</x:v>
      </x:c>
      <x:c r="B16" s="17" t="str">
        <x:v>1995</x:v>
      </x:c>
      <x:c r="C16" s="17" t="str">
        <x:v>1990s</x:v>
      </x:c>
      <x:c r="D16" s="17" t="n">
        <x:v>4</x:v>
      </x:c>
      <x:c r="E16" s="17" t="str">
        <x:v>netDecide; Synteractive; 1776; Hallway</x:v>
      </x:c>
      <x:c r="F16" s="17" t="str">
        <x:v>University of Oxford</x:v>
      </x:c>
      <x:c r="G16" s="17" t="str">
        <x:v>Historical-company search</x:v>
      </x:c>
      <x:c r="H16" s="17" t="str">
        <x:v>Washington-area founder coverage</x:v>
      </x:c>
      <x:c r="I16" s="17" t="n">
        <x:v>4</x:v>
      </x:c>
    </x:row>
    <x:row r="17">
      <x:c r="A17" s="17" t="str">
        <x:v>Brent Metz</x:v>
      </x:c>
      <x:c r="B17" s="17" t="str">
        <x:v>1996</x:v>
      </x:c>
      <x:c r="C17" s="17" t="str">
        <x:v>1990s</x:v>
      </x:c>
      <x:c r="D17" s="17" t="n">
        <x:v>1</x:v>
      </x:c>
      <x:c r="E17" s="17" t="str">
        <x:v>Yext</x:v>
      </x:c>
      <x:c r="F17" s="17" t="str">
        <x:v>Unknown</x:v>
      </x:c>
      <x:c r="G17" s="17" t="str">
        <x:v>Recursive founder-network expansion</x:v>
      </x:c>
      <x:c r="H17" s="17" t="str">
        <x:v>Howard Lerman network expansion</x:v>
      </x:c>
      <x:c r="I17" s="17" t="n">
        <x:v>5</x:v>
      </x:c>
    </x:row>
    <x:row r="18">
      <x:c r="A18" s="17" t="str">
        <x:v>Bryan Guido Hassin</x:v>
      </x:c>
      <x:c r="B18" s="17" t="str">
        <x:v>1997</x:v>
      </x:c>
      <x:c r="C18" s="17" t="str">
        <x:v>1990s</x:v>
      </x:c>
      <x:c r="D18" s="17" t="n">
        <x:v>1</x:v>
      </x:c>
      <x:c r="E18" s="17" t="str">
        <x:v>Third Derivative</x:v>
      </x:c>
      <x:c r="F18" s="17" t="str">
        <x:v>Rice University</x:v>
      </x:c>
      <x:c r="G18" s="17" t="str">
        <x:v>Direct TJ founder search</x:v>
      </x:c>
      <x:c r="H18" s="17" t="str">
        <x:v>Founder personal essay</x:v>
      </x:c>
      <x:c r="I18" s="17" t="n">
        <x:v>5</x:v>
      </x:c>
    </x:row>
    <x:row r="19">
      <x:c r="A19" s="17" t="str">
        <x:v>Greg Tseng</x:v>
      </x:c>
      <x:c r="B19" s="17" t="str">
        <x:v>1997</x:v>
      </x:c>
      <x:c r="C19" s="17" t="str">
        <x:v>1990s</x:v>
      </x:c>
      <x:c r="D19" s="17" t="n">
        <x:v>3</x:v>
      </x:c>
      <x:c r="E19" s="17" t="str">
        <x:v>Tagged; Jumpstart Technologies; flyingchickens.com</x:v>
      </x:c>
      <x:c r="F19" s="17" t="str">
        <x:v>Harvard University; Stanford University</x:v>
      </x:c>
      <x:c r="G19" s="17" t="str">
        <x:v>TJHSST founder directory</x:v>
      </x:c>
      <x:c r="H19" s="17" t="str">
        <x:v>TJHSST Founders Initiative</x:v>
      </x:c>
      <x:c r="I19" s="17" t="n">
        <x:v>4</x:v>
      </x:c>
    </x:row>
    <x:row r="20">
      <x:c r="A20" s="17" t="str">
        <x:v>Geoffrey von Maltzahn</x:v>
      </x:c>
      <x:c r="B20" s="17" t="str">
        <x:v>1998</x:v>
      </x:c>
      <x:c r="C20" s="17" t="str">
        <x:v>1990s</x:v>
      </x:c>
      <x:c r="D20" s="17" t="n">
        <x:v>7</x:v>
      </x:c>
      <x:c r="E20" s="17" t="str">
        <x:v>Indigo Agriculture; Seres Therapeutics; Generate Biomedicines; Tessera Therapeutics; Quotient Therapeutics; Sana Biotechnology; Lila Sciences</x:v>
      </x:c>
      <x:c r="F20" s="17" t="str">
        <x:v>MIT</x:v>
      </x:c>
      <x:c r="G20" s="17" t="str">
        <x:v>TJHSST founder directory</x:v>
      </x:c>
      <x:c r="H20" s="17" t="str">
        <x:v>TJHSST Founders Initiative</x:v>
      </x:c>
      <x:c r="I20" s="17" t="n">
        <x:v>5</x:v>
      </x:c>
    </x:row>
    <x:row r="21">
      <x:c r="A21" s="17" t="str">
        <x:v>Howard Lerman</x:v>
      </x:c>
      <x:c r="B21" s="17" t="str">
        <x:v>1998</x:v>
      </x:c>
      <x:c r="C21" s="17" t="str">
        <x:v>1990s</x:v>
      </x:c>
      <x:c r="D21" s="17" t="n">
        <x:v>5</x:v>
      </x:c>
      <x:c r="E21" s="17" t="str">
        <x:v>Roam; JustATip; Intwine; Yext; Confide</x:v>
      </x:c>
      <x:c r="F21" s="17" t="str">
        <x:v>Virginia Tech</x:v>
      </x:c>
      <x:c r="G21" s="17" t="str">
        <x:v>Named community-node search</x:v>
      </x:c>
      <x:c r="H21" s="17" t="str">
        <x:v>Howard Lerman public activity</x:v>
      </x:c>
      <x:c r="I21" s="17" t="n">
        <x:v>4</x:v>
      </x:c>
    </x:row>
    <x:row r="22">
      <x:c r="A22" s="17" t="str">
        <x:v>Sean MacIsaac</x:v>
      </x:c>
      <x:c r="B22" s="17" t="str">
        <x:v>1998</x:v>
      </x:c>
      <x:c r="C22" s="17" t="str">
        <x:v>1990s</x:v>
      </x:c>
      <x:c r="D22" s="17" t="n">
        <x:v>3</x:v>
      </x:c>
      <x:c r="E22" s="17" t="str">
        <x:v>Roam; JustATip; Intwine</x:v>
      </x:c>
      <x:c r="F22" s="17" t="str">
        <x:v>Virginia Tech</x:v>
      </x:c>
      <x:c r="G22" s="17" t="str">
        <x:v>Recursive founder-network expansion</x:v>
      </x:c>
      <x:c r="H22" s="17" t="str">
        <x:v>Howard Lerman network expansion</x:v>
      </x:c>
      <x:c r="I22" s="17" t="n">
        <x:v>4</x:v>
      </x:c>
    </x:row>
    <x:row r="23">
      <x:c r="A23" s="17" t="str">
        <x:v>Tom Dixon</x:v>
      </x:c>
      <x:c r="B23" s="17" t="str">
        <x:v>1998</x:v>
      </x:c>
      <x:c r="C23" s="17" t="str">
        <x:v>1990s</x:v>
      </x:c>
      <x:c r="D23" s="17" t="n">
        <x:v>3</x:v>
      </x:c>
      <x:c r="E23" s="17" t="str">
        <x:v>Roam; JustATip; Intwine</x:v>
      </x:c>
      <x:c r="F23" s="17" t="str">
        <x:v>Virginia Tech</x:v>
      </x:c>
      <x:c r="G23" s="17" t="str">
        <x:v>Recursive founder-network expansion</x:v>
      </x:c>
      <x:c r="H23" s="17" t="str">
        <x:v>Howard Lerman network expansion</x:v>
      </x:c>
      <x:c r="I23" s="17" t="n">
        <x:v>4</x:v>
      </x:c>
    </x:row>
    <x:row r="24">
      <x:c r="A24" s="17" t="str">
        <x:v>Danny Lee</x:v>
      </x:c>
      <x:c r="B24" s="17" t="str">
        <x:v>1999</x:v>
      </x:c>
      <x:c r="C24" s="17" t="str">
        <x:v>1990s</x:v>
      </x:c>
      <x:c r="D24" s="17" t="n">
        <x:v>3</x:v>
      </x:c>
      <x:c r="E24" s="17" t="str">
        <x:v>Mandu; CHIKO; Anju</x:v>
      </x:c>
      <x:c r="F24" s="17" t="str">
        <x:v>University of Virginia</x:v>
      </x:c>
      <x:c r="G24" s="17" t="str">
        <x:v>TJHSST founder directory</x:v>
      </x:c>
      <x:c r="H24" s="17" t="str">
        <x:v>TJHSST Founders Initiative</x:v>
      </x:c>
      <x:c r="I24" s="17" t="n">
        <x:v>4</x:v>
      </x:c>
    </x:row>
    <x:row r="25">
      <x:c r="A25" s="17" t="str">
        <x:v>Jerry O. Talton</x:v>
      </x:c>
      <x:c r="B25" s="17" t="str">
        <x:v>2000</x:v>
      </x:c>
      <x:c r="C25" s="17" t="str">
        <x:v>2000s</x:v>
      </x:c>
      <x:c r="D25" s="17" t="n">
        <x:v>1</x:v>
      </x:c>
      <x:c r="E25" s="17" t="str">
        <x:v>Apropose</x:v>
      </x:c>
      <x:c r="F25" s="17" t="str">
        <x:v>Stanford University</x:v>
      </x:c>
      <x:c r="G25" s="17" t="str">
        <x:v>Personal-CV search</x:v>
      </x:c>
      <x:c r="H25" s="17" t="str">
        <x:v>Founder CV</x:v>
      </x:c>
      <x:c r="I25" s="17" t="n">
        <x:v>5</x:v>
      </x:c>
    </x:row>
    <x:row r="26">
      <x:c r="A26" s="17" t="str">
        <x:v>Kevin Caffrey</x:v>
      </x:c>
      <x:c r="B26" s="17" t="str">
        <x:v>2002</x:v>
      </x:c>
      <x:c r="C26" s="17" t="str">
        <x:v>2000s</x:v>
      </x:c>
      <x:c r="D26" s="17" t="n">
        <x:v>1</x:v>
      </x:c>
      <x:c r="E26" s="17" t="str">
        <x:v>Roam</x:v>
      </x:c>
      <x:c r="F26" s="17" t="str">
        <x:v>Virginia Tech</x:v>
      </x:c>
      <x:c r="G26" s="17" t="str">
        <x:v>Recursive founder-network expansion</x:v>
      </x:c>
      <x:c r="H26" s="17" t="str">
        <x:v>Howard Lerman network expansion</x:v>
      </x:c>
      <x:c r="I26" s="17" t="n">
        <x:v>5</x:v>
      </x:c>
    </x:row>
    <x:row r="27">
      <x:c r="A27" s="17" t="str">
        <x:v>Jeff Arnold</x:v>
      </x:c>
      <x:c r="B27" s="17" t="str">
        <x:v>2003</x:v>
      </x:c>
      <x:c r="C27" s="17" t="str">
        <x:v>2000s</x:v>
      </x:c>
      <x:c r="D27" s="17" t="n">
        <x:v>3</x:v>
      </x:c>
      <x:c r="E27" s="17" t="str">
        <x:v>Ksplice; Zulip; Pilot</x:v>
      </x:c>
      <x:c r="F27" s="17" t="str">
        <x:v>MIT</x:v>
      </x:c>
      <x:c r="G27" s="17" t="str">
        <x:v>Howard Lerman social-hub search</x:v>
      </x:c>
      <x:c r="H27" s="17" t="str">
        <x:v>Howard Lerman LinkedIn post</x:v>
      </x:c>
      <x:c r="I27" s="17" t="n">
        <x:v>5</x:v>
      </x:c>
    </x:row>
    <x:row r="28">
      <x:c r="A28" s="17" t="str">
        <x:v>Tim Abbott</x:v>
      </x:c>
      <x:c r="B28" s="17" t="str">
        <x:v>2003</x:v>
      </x:c>
      <x:c r="C28" s="17" t="str">
        <x:v>2000s</x:v>
      </x:c>
      <x:c r="D28" s="17" t="n">
        <x:v>2</x:v>
      </x:c>
      <x:c r="E28" s="17" t="str">
        <x:v>Ksplice; Zulip</x:v>
      </x:c>
      <x:c r="F28" s="17" t="str">
        <x:v>MIT</x:v>
      </x:c>
      <x:c r="G28" s="17" t="str">
        <x:v>Recursive founder-network expansion</x:v>
      </x:c>
      <x:c r="H28" s="17" t="str">
        <x:v>Jeff Arnold network expansion</x:v>
      </x:c>
      <x:c r="I28" s="17" t="n">
        <x:v>5</x:v>
      </x:c>
    </x:row>
    <x:row r="29">
      <x:c r="A29" s="17" t="str">
        <x:v>Daniel Shin</x:v>
      </x:c>
      <x:c r="B29" s="17" t="str">
        <x:v>2004</x:v>
      </x:c>
      <x:c r="C29" s="17" t="str">
        <x:v>2000s</x:v>
      </x:c>
      <x:c r="D29" s="17" t="n">
        <x:v>6</x:v>
      </x:c>
      <x:c r="E29" s="17" t="str">
        <x:v>Invite Media; Ticket Monster; Fast Track Asia; Bass Investment; Terraform Labs; PortOne Global (formerly CHAI)</x:v>
      </x:c>
      <x:c r="F29" s="17" t="str">
        <x:v>University of Pennsylvania</x:v>
      </x:c>
      <x:c r="G29" s="17" t="str">
        <x:v>Historical-company search</x:v>
      </x:c>
      <x:c r="H29" s="17" t="str">
        <x:v>TJHSST alumni biography</x:v>
      </x:c>
      <x:c r="I29" s="17" t="n">
        <x:v>4</x:v>
      </x:c>
    </x:row>
    <x:row r="30">
      <x:c r="A30" s="17" t="str">
        <x:v>Joyce Meng</x:v>
      </x:c>
      <x:c r="B30" s="17" t="str">
        <x:v>2004</x:v>
      </x:c>
      <x:c r="C30" s="17" t="str">
        <x:v>2000s</x:v>
      </x:c>
      <x:c r="D30" s="17" t="n">
        <x:v>2</x:v>
      </x:c>
      <x:c r="E30" s="17" t="str">
        <x:v>Givology; FACT Capital</x:v>
      </x:c>
      <x:c r="F30" s="17" t="str">
        <x:v>University of Pennsylvania; Harvard University</x:v>
      </x:c>
      <x:c r="G30" s="17" t="str">
        <x:v>TJ/FCPS alumni publication</x:v>
      </x:c>
      <x:c r="H30" s="17" t="str">
        <x:v>FCPS alumni newsletter</x:v>
      </x:c>
      <x:c r="I30" s="17" t="n">
        <x:v>5</x:v>
      </x:c>
    </x:row>
    <x:row r="31">
      <x:c r="A31" s="17" t="str">
        <x:v>Vlad Tenev</x:v>
      </x:c>
      <x:c r="B31" s="17" t="str">
        <x:v>2004</x:v>
      </x:c>
      <x:c r="C31" s="17" t="str">
        <x:v>2000s</x:v>
      </x:c>
      <x:c r="D31" s="17" t="n">
        <x:v>1</x:v>
      </x:c>
      <x:c r="E31" s="17" t="str">
        <x:v>Robinhood</x:v>
      </x:c>
      <x:c r="F31" s="17" t="str">
        <x:v>Stanford University; UCLA</x:v>
      </x:c>
      <x:c r="G31" s="17" t="str">
        <x:v>TJHSST founder directory</x:v>
      </x:c>
      <x:c r="H31" s="17" t="str">
        <x:v>TJHSST Founders Initiative</x:v>
      </x:c>
      <x:c r="I31" s="17" t="n">
        <x:v>5</x:v>
      </x:c>
    </x:row>
    <x:row r="32">
      <x:c r="A32" s="17" t="str">
        <x:v>Conor Russomanno</x:v>
      </x:c>
      <x:c r="B32" s="17" t="str">
        <x:v>2007</x:v>
      </x:c>
      <x:c r="C32" s="17" t="str">
        <x:v>2000s</x:v>
      </x:c>
      <x:c r="D32" s="17" t="n">
        <x:v>2</x:v>
      </x:c>
      <x:c r="E32" s="17" t="str">
        <x:v>OpenBCI; NeuroTechNYC</x:v>
      </x:c>
      <x:c r="F32" s="17" t="str">
        <x:v>Pratt Institute; Parsons School of Design</x:v>
      </x:c>
      <x:c r="G32" s="17" t="str">
        <x:v>TJHSST founder directory</x:v>
      </x:c>
      <x:c r="H32" s="17" t="str">
        <x:v>TJHSST Founders Initiative</x:v>
      </x:c>
      <x:c r="I32" s="17" t="n">
        <x:v>5</x:v>
      </x:c>
    </x:row>
    <x:row r="33">
      <x:c r="A33" s="17" t="str">
        <x:v>Brian Tubergen</x:v>
      </x:c>
      <x:c r="B33" s="17" t="str">
        <x:v>2009</x:v>
      </x:c>
      <x:c r="C33" s="17" t="str">
        <x:v>2000s</x:v>
      </x:c>
      <x:c r="D33" s="17" t="n">
        <x:v>1</x:v>
      </x:c>
      <x:c r="E33" s="17" t="str">
        <x:v>CoinList</x:v>
      </x:c>
      <x:c r="F33" s="17" t="str">
        <x:v>Princeton University</x:v>
      </x:c>
      <x:c r="G33" s="17" t="str">
        <x:v>TJ/FCPS alumni publication</x:v>
      </x:c>
      <x:c r="H33" s="17" t="str">
        <x:v>FCPS alumni newsletter</x:v>
      </x:c>
      <x:c r="I33" s="17" t="n">
        <x:v>5</x:v>
      </x:c>
    </x:row>
    <x:row r="34">
      <x:c r="A34" s="17" t="str">
        <x:v>Nader Al-Naji</x:v>
      </x:c>
      <x:c r="B34" s="17" t="str">
        <x:v>2010</x:v>
      </x:c>
      <x:c r="C34" s="17" t="str">
        <x:v>2010s</x:v>
      </x:c>
      <x:c r="D34" s="17" t="n">
        <x:v>2</x:v>
      </x:c>
      <x:c r="E34" s="17" t="str">
        <x:v>Basis; DeSo (formerly BitClout)</x:v>
      </x:c>
      <x:c r="F34" s="17" t="str">
        <x:v>Princeton University</x:v>
      </x:c>
      <x:c r="G34" s="17" t="str">
        <x:v>TJHSST founder directory</x:v>
      </x:c>
      <x:c r="H34" s="17" t="str">
        <x:v>TJHSST Founders Initiative</x:v>
      </x:c>
      <x:c r="I34" s="17" t="n">
        <x:v>5</x:v>
      </x:c>
    </x:row>
    <x:row r="35">
      <x:c r="A35" s="17" t="str">
        <x:v>Lydia Hylton</x:v>
      </x:c>
      <x:c r="B35" s="17" t="str">
        <x:v>2012</x:v>
      </x:c>
      <x:c r="C35" s="17" t="str">
        <x:v>2010s</x:v>
      </x:c>
      <x:c r="D35" s="17" t="n">
        <x:v>1</x:v>
      </x:c>
      <x:c r="E35" s="17" t="str">
        <x:v>Strella</x:v>
      </x:c>
      <x:c r="F35" s="17" t="str">
        <x:v>University of Pennsylvania</x:v>
      </x:c>
      <x:c r="G35" s="17" t="str">
        <x:v>TJHSST founder directory</x:v>
      </x:c>
      <x:c r="H35" s="17" t="str">
        <x:v>TJHSST Founders Initiative</x:v>
      </x:c>
      <x:c r="I35" s="17" t="n">
        <x:v>5</x:v>
      </x:c>
    </x:row>
    <x:row r="36">
      <x:c r="A36" s="17" t="str">
        <x:v>Priya Krishnan</x:v>
      </x:c>
      <x:c r="B36" s="17" t="str">
        <x:v>2012</x:v>
      </x:c>
      <x:c r="C36" s="17" t="str">
        <x:v>2010s</x:v>
      </x:c>
      <x:c r="D36" s="17" t="n">
        <x:v>1</x:v>
      </x:c>
      <x:c r="E36" s="17" t="str">
        <x:v>Strella</x:v>
      </x:c>
      <x:c r="F36" s="17" t="str">
        <x:v>University of Pennsylvania</x:v>
      </x:c>
      <x:c r="G36" s="17" t="str">
        <x:v>TJHSST founder directory</x:v>
      </x:c>
      <x:c r="H36" s="17" t="str">
        <x:v>TJHSST Founders Initiative</x:v>
      </x:c>
      <x:c r="I36" s="17" t="n">
        <x:v>5</x:v>
      </x:c>
    </x:row>
    <x:row r="37">
      <x:c r="A37" s="17" t="str">
        <x:v>Kevin Cao</x:v>
      </x:c>
      <x:c r="B37" s="17" t="str">
        <x:v>2013</x:v>
      </x:c>
      <x:c r="C37" s="17" t="str">
        <x:v>2010s</x:v>
      </x:c>
      <x:c r="D37" s="17" t="n">
        <x:v>1</x:v>
      </x:c>
      <x:c r="E37" s="17" t="str">
        <x:v>GIVE</x:v>
      </x:c>
      <x:c r="F37" s="17" t="str">
        <x:v>Unknown</x:v>
      </x:c>
      <x:c r="G37" s="17" t="str">
        <x:v>Young-founder search</x:v>
      </x:c>
      <x:c r="H37" s="17" t="str">
        <x:v>Washington Post student-founder profile</x:v>
      </x:c>
      <x:c r="I37" s="17" t="n">
        <x:v>5</x:v>
      </x:c>
    </x:row>
    <x:row r="38">
      <x:c r="A38" s="17" t="str">
        <x:v>Sean McElrath</x:v>
      </x:c>
      <x:c r="B38" s="17" t="str">
        <x:v>2013</x:v>
      </x:c>
      <x:c r="C38" s="17" t="str">
        <x:v>2010s</x:v>
      </x:c>
      <x:c r="D38" s="17" t="n">
        <x:v>1</x:v>
      </x:c>
      <x:c r="E38" s="17" t="str">
        <x:v>Hallway</x:v>
      </x:c>
      <x:c r="F38" s="17" t="str">
        <x:v>Unknown</x:v>
      </x:c>
      <x:c r="G38" s="17" t="str">
        <x:v>Young-founder search</x:v>
      </x:c>
      <x:c r="H38" s="17" t="str">
        <x:v>Washington Post student-founder profile</x:v>
      </x:c>
      <x:c r="I38" s="17" t="n">
        <x:v>5</x:v>
      </x:c>
    </x:row>
    <x:row r="39">
      <x:c r="A39" s="17" t="str">
        <x:v>Tara Gupta</x:v>
      </x:c>
      <x:c r="B39" s="17" t="str">
        <x:v>2014</x:v>
      </x:c>
      <x:c r="C39" s="17" t="str">
        <x:v>2010s</x:v>
      </x:c>
      <x:c r="D39" s="17" t="n">
        <x:v>2</x:v>
      </x:c>
      <x:c r="E39" s="17" t="str">
        <x:v>Map-Collective; Anamakos</x:v>
      </x:c>
      <x:c r="F39" s="17" t="str">
        <x:v>Rhode Island School of Design; Brown University</x:v>
      </x:c>
      <x:c r="G39" s="17" t="str">
        <x:v>University cross-search</x:v>
      </x:c>
      <x:c r="H39" s="17" t="str">
        <x:v>University sustainability program</x:v>
      </x:c>
      <x:c r="I39" s="17" t="n">
        <x:v>3</x:v>
      </x:c>
    </x:row>
    <x:row r="40">
      <x:c r="A40" s="17" t="str">
        <x:v>Tiffney Kathir</x:v>
      </x:c>
      <x:c r="B40" s="17" t="str">
        <x:v>2014</x:v>
      </x:c>
      <x:c r="C40" s="17" t="str">
        <x:v>2010s</x:v>
      </x:c>
      <x:c r="D40" s="17" t="n">
        <x:v>1</x:v>
      </x:c>
      <x:c r="E40" s="17" t="str">
        <x:v>Tilt Desserts</x:v>
      </x:c>
      <x:c r="F40" s="17" t="str">
        <x:v>Unknown</x:v>
      </x:c>
      <x:c r="G40" s="17" t="str">
        <x:v>TJ/FCPS alumni publication</x:v>
      </x:c>
      <x:c r="H40" s="17" t="str">
        <x:v>FCPS alumni newsletter</x:v>
      </x:c>
      <x:c r="I40" s="17" t="n">
        <x:v>4</x:v>
      </x:c>
    </x:row>
    <x:row r="41">
      <x:c r="A41" s="17" t="str">
        <x:v>Ana Malhotra</x:v>
      </x:c>
      <x:c r="B41" s="17" t="str">
        <x:v>2015</x:v>
      </x:c>
      <x:c r="C41" s="17" t="str">
        <x:v>2010s</x:v>
      </x:c>
      <x:c r="D41" s="17" t="n">
        <x:v>1</x:v>
      </x:c>
      <x:c r="E41" s="17" t="str">
        <x:v>Rome</x:v>
      </x:c>
      <x:c r="F41" s="17" t="str">
        <x:v>George Washington University</x:v>
      </x:c>
      <x:c r="G41" s="17" t="str">
        <x:v>LinkedIn/biography cross-search</x:v>
      </x:c>
      <x:c r="H41" s="17" t="str">
        <x:v>Founder LinkedIn post</x:v>
      </x:c>
      <x:c r="I41" s="17" t="n">
        <x:v>4</x:v>
      </x:c>
    </x:row>
    <x:row r="42">
      <x:c r="A42" s="17" t="str">
        <x:v>Pooja Chandrashekar</x:v>
      </x:c>
      <x:c r="B42" s="17" t="str">
        <x:v>2015</x:v>
      </x:c>
      <x:c r="C42" s="17" t="str">
        <x:v>2010s</x:v>
      </x:c>
      <x:c r="D42" s="17" t="n">
        <x:v>2</x:v>
      </x:c>
      <x:c r="E42" s="17" t="str">
        <x:v>ProjectCSGIRLS; Action and Civic Tech Scholars</x:v>
      </x:c>
      <x:c r="F42" s="17" t="str">
        <x:v>Harvard University</x:v>
      </x:c>
      <x:c r="G42" s="17" t="str">
        <x:v>TJ/FCPS student publication</x:v>
      </x:c>
      <x:c r="H42" s="17" t="str">
        <x:v>WashingtonExec TJ STEM profile</x:v>
      </x:c>
      <x:c r="I42" s="17" t="n">
        <x:v>3</x:v>
      </x:c>
    </x:row>
    <x:row r="43">
      <x:c r="A43" s="17" t="str">
        <x:v>Abhishek Bhargava</x:v>
      </x:c>
      <x:c r="B43" s="17" t="str">
        <x:v>2016</x:v>
      </x:c>
      <x:c r="C43" s="17" t="str">
        <x:v>2010s</x:v>
      </x:c>
      <x:c r="D43" s="17" t="n">
        <x:v>3</x:v>
      </x:c>
      <x:c r="E43" s="17" t="str">
        <x:v>Vectordash; Covalent; BetterBrain</x:v>
      </x:c>
      <x:c r="F43" s="17" t="str">
        <x:v>Harvard University</x:v>
      </x:c>
      <x:c r="G43" s="17" t="str">
        <x:v>Recursive founder-network expansion</x:v>
      </x:c>
      <x:c r="H43" s="17" t="str">
        <x:v>TJ founder biography expansion</x:v>
      </x:c>
      <x:c r="I43" s="17" t="n">
        <x:v>3</x:v>
      </x:c>
    </x:row>
    <x:row r="44">
      <x:c r="A44" s="17" t="str">
        <x:v>Akash Raju</x:v>
      </x:c>
      <x:c r="B44" s="17" t="str">
        <x:v>2016</x:v>
      </x:c>
      <x:c r="C44" s="17" t="str">
        <x:v>2010s</x:v>
      </x:c>
      <x:c r="D44" s="17" t="n">
        <x:v>1</x:v>
      </x:c>
      <x:c r="E44" s="17" t="str">
        <x:v>Glimpse</x:v>
      </x:c>
      <x:c r="F44" s="17" t="str">
        <x:v>Princeton University</x:v>
      </x:c>
      <x:c r="G44" s="17" t="str">
        <x:v>Chappy Asel social-hub search</x:v>
      </x:c>
      <x:c r="H44" s="17" t="str">
        <x:v>Chappy Asel LinkedIn panel post</x:v>
      </x:c>
      <x:c r="I44" s="17" t="n">
        <x:v>5</x:v>
      </x:c>
    </x:row>
    <x:row r="45">
      <x:c r="A45" s="17" t="str">
        <x:v>Nathan Foss</x:v>
      </x:c>
      <x:c r="B45" s="17" t="str">
        <x:v>2016</x:v>
      </x:c>
      <x:c r="C45" s="17" t="str">
        <x:v>2010s</x:v>
      </x:c>
      <x:c r="D45" s="17" t="n">
        <x:v>1</x:v>
      </x:c>
      <x:c r="E45" s="17" t="str">
        <x:v>Gather</x:v>
      </x:c>
      <x:c r="F45" s="17" t="str">
        <x:v>Virginia Tech</x:v>
      </x:c>
      <x:c r="G45" s="17" t="str">
        <x:v>TJHSST founder directory</x:v>
      </x:c>
      <x:c r="H45" s="17" t="str">
        <x:v>TJHSST Founders Initiative</x:v>
      </x:c>
      <x:c r="I45" s="17" t="n">
        <x:v>4</x:v>
      </x:c>
    </x:row>
    <x:row r="46">
      <x:c r="A46" s="17" t="str">
        <x:v>Ray Liu</x:v>
      </x:c>
      <x:c r="B46" s="17" t="str">
        <x:v>2016</x:v>
      </x:c>
      <x:c r="C46" s="17" t="str">
        <x:v>2010s</x:v>
      </x:c>
      <x:c r="D46" s="17" t="n">
        <x:v>1</x:v>
      </x:c>
      <x:c r="E46" s="17" t="str">
        <x:v>PeerKonnect</x:v>
      </x:c>
      <x:c r="F46" s="17" t="str">
        <x:v>Duke University</x:v>
      </x:c>
      <x:c r="G46" s="17" t="str">
        <x:v>Young-founder search</x:v>
      </x:c>
      <x:c r="H46" s="17" t="str">
        <x:v>Founder organization biography</x:v>
      </x:c>
      <x:c r="I46" s="17" t="n">
        <x:v>4</x:v>
      </x:c>
    </x:row>
    <x:row r="47">
      <x:c r="A47" s="17" t="str">
        <x:v>Chappy Asel</x:v>
      </x:c>
      <x:c r="B47" s="17" t="str">
        <x:v>2017</x:v>
      </x:c>
      <x:c r="C47" s="17" t="str">
        <x:v>2010s</x:v>
      </x:c>
      <x:c r="D47" s="17" t="n">
        <x:v>2</x:v>
      </x:c>
      <x:c r="E47" s="17" t="str">
        <x:v>The AI Collective; Cofactory</x:v>
      </x:c>
      <x:c r="F47" s="17" t="str">
        <x:v>University of Virginia</x:v>
      </x:c>
      <x:c r="G47" s="17" t="str">
        <x:v>Named community-node search</x:v>
      </x:c>
      <x:c r="H47" s="17" t="str">
        <x:v>Chappy Asel public activity</x:v>
      </x:c>
      <x:c r="I47" s="17" t="n">
        <x:v>5</x:v>
      </x:c>
    </x:row>
    <x:row r="48">
      <x:c r="A48" s="17" t="str">
        <x:v>Kavya Kopparapu</x:v>
      </x:c>
      <x:c r="B48" s="17" t="str">
        <x:v>2018</x:v>
      </x:c>
      <x:c r="C48" s="17" t="str">
        <x:v>2010s</x:v>
      </x:c>
      <x:c r="D48" s="17" t="n">
        <x:v>1</x:v>
      </x:c>
      <x:c r="E48" s="17" t="str">
        <x:v>Girls Computing League</x:v>
      </x:c>
      <x:c r="F48" s="17" t="str">
        <x:v>Harvard University</x:v>
      </x:c>
      <x:c r="G48" s="17" t="str">
        <x:v>TJHSST founder directory</x:v>
      </x:c>
      <x:c r="H48" s="17" t="str">
        <x:v>TJHSST Founders Initiative</x:v>
      </x:c>
      <x:c r="I48" s="17" t="n">
        <x:v>4</x:v>
      </x:c>
    </x:row>
    <x:row r="49">
      <x:c r="A49" s="17" t="str">
        <x:v>Philip Pan</x:v>
      </x:c>
      <x:c r="B49" s="17" t="str">
        <x:v>2020</x:v>
      </x:c>
      <x:c r="C49" s="17" t="str">
        <x:v>2020s</x:v>
      </x:c>
      <x:c r="D49" s="17" t="n">
        <x:v>1</x:v>
      </x:c>
      <x:c r="E49" s="17" t="str">
        <x:v>Autovision Technologies</x:v>
      </x:c>
      <x:c r="F49" s="17" t="str">
        <x:v>University of Pennsylvania</x:v>
      </x:c>
      <x:c r="G49" s="17" t="str">
        <x:v>Young-founder search</x:v>
      </x:c>
      <x:c r="H49" s="17" t="str">
        <x:v>Youth entrepreneurship seminar</x:v>
      </x:c>
      <x:c r="I49" s="17" t="n">
        <x:v>4</x:v>
      </x:c>
    </x:row>
    <x:row r="50">
      <x:c r="A50" s="17" t="str">
        <x:v>Sophia Kianni</x:v>
      </x:c>
      <x:c r="B50" s="17" t="str">
        <x:v>2020</x:v>
      </x:c>
      <x:c r="C50" s="17" t="str">
        <x:v>2020s</x:v>
      </x:c>
      <x:c r="D50" s="17" t="n">
        <x:v>2</x:v>
      </x:c>
      <x:c r="E50" s="17" t="str">
        <x:v>Climate Cardinals; Phia</x:v>
      </x:c>
      <x:c r="F50" s="17" t="str">
        <x:v>Stanford University</x:v>
      </x:c>
      <x:c r="G50" s="17" t="str">
        <x:v>Chappy Asel social-hub search</x:v>
      </x:c>
      <x:c r="H50" s="17" t="str">
        <x:v>Chappy Asel LinkedIn panel post</x:v>
      </x:c>
      <x:c r="I50" s="17" t="n">
        <x:v>5</x:v>
      </x:c>
    </x:row>
    <x:row r="51">
      <x:c r="A51" s="17" t="str">
        <x:v>Alex Talamonti</x:v>
      </x:c>
      <x:c r="B51" s="17" t="str">
        <x:v>2021</x:v>
      </x:c>
      <x:c r="C51" s="17" t="str">
        <x:v>2020s</x:v>
      </x:c>
      <x:c r="D51" s="17" t="n">
        <x:v>1</x:v>
      </x:c>
      <x:c r="E51" s="17" t="str">
        <x:v>Quotain (Eden AI)</x:v>
      </x:c>
      <x:c r="F51" s="17" t="str">
        <x:v>New York University</x:v>
      </x:c>
      <x:c r="G51" s="17" t="str">
        <x:v>Recursive founder-network expansion</x:v>
      </x:c>
      <x:c r="H51" s="17" t="str">
        <x:v>Sophia Kianni network expansion</x:v>
      </x:c>
      <x:c r="I51" s="17" t="n">
        <x:v>4</x:v>
      </x:c>
    </x:row>
    <x:row r="52">
      <x:c r="A52" s="17" t="str">
        <x:v>Charlie Wu</x:v>
      </x:c>
      <x:c r="B52" s="17" t="str">
        <x:v>2021</x:v>
      </x:c>
      <x:c r="C52" s="17" t="str">
        <x:v>2020s</x:v>
      </x:c>
      <x:c r="D52" s="17" t="n">
        <x:v>1</x:v>
      </x:c>
      <x:c r="E52" s="17" t="str">
        <x:v>Orchard Robotics</x:v>
      </x:c>
      <x:c r="F52" s="17" t="str">
        <x:v>Cornell University</x:v>
      </x:c>
      <x:c r="G52" s="17" t="str">
        <x:v>TJHSST founder directory</x:v>
      </x:c>
      <x:c r="H52" s="17" t="str">
        <x:v>TJHSST Founders Initiative</x:v>
      </x:c>
      <x:c r="I52" s="17" t="n">
        <x:v>5</x:v>
      </x:c>
    </x:row>
    <x:row r="53">
      <x:c r="A53" s="17" t="str">
        <x:v>Jason He</x:v>
      </x:c>
      <x:c r="B53" s="17" t="str">
        <x:v>2021</x:v>
      </x:c>
      <x:c r="C53" s="17" t="str">
        <x:v>2020s</x:v>
      </x:c>
      <x:c r="D53" s="17" t="n">
        <x:v>1</x:v>
      </x:c>
      <x:c r="E53" s="17" t="str">
        <x:v>Quotain (Eden AI)</x:v>
      </x:c>
      <x:c r="F53" s="17" t="str">
        <x:v>University of Virginia</x:v>
      </x:c>
      <x:c r="G53" s="17" t="str">
        <x:v>Recursive founder-network expansion</x:v>
      </x:c>
      <x:c r="H53" s="17" t="str">
        <x:v>Sophia Kianni network expansion</x:v>
      </x:c>
      <x:c r="I53" s="17" t="n">
        <x:v>4</x:v>
      </x:c>
    </x:row>
    <x:row r="54">
      <x:c r="A54" s="17" t="str">
        <x:v>Arya Grayeli</x:v>
      </x:c>
      <x:c r="B54" s="17" t="str">
        <x:v>2022</x:v>
      </x:c>
      <x:c r="C54" s="17" t="str">
        <x:v>2020s</x:v>
      </x:c>
      <x:c r="D54" s="17" t="n">
        <x:v>1</x:v>
      </x:c>
      <x:c r="E54" s="17" t="str">
        <x:v>Sapien</x:v>
      </x:c>
      <x:c r="F54" s="17" t="str">
        <x:v>University of Virginia</x:v>
      </x:c>
      <x:c r="G54" s="17" t="str">
        <x:v>TJHSST founder directory</x:v>
      </x:c>
      <x:c r="H54" s="17" t="str">
        <x:v>TJHSST Founders Initiative</x:v>
      </x:c>
      <x:c r="I54" s="17" t="n">
        <x:v>5</x:v>
      </x:c>
    </x:row>
    <x:row r="55">
      <x:c r="A55" s="17" t="str">
        <x:v>Chris Arraya</x:v>
      </x:c>
      <x:c r="B55" s="17" t="str">
        <x:v>2022</x:v>
      </x:c>
      <x:c r="C55" s="17" t="str">
        <x:v>2020s</x:v>
      </x:c>
      <x:c r="D55" s="17" t="n">
        <x:v>1</x:v>
      </x:c>
      <x:c r="E55" s="17" t="str">
        <x:v>Skalara</x:v>
      </x:c>
      <x:c r="F55" s="17" t="str">
        <x:v>Unknown</x:v>
      </x:c>
      <x:c r="G55" s="17" t="str">
        <x:v>TJHSST founder directory</x:v>
      </x:c>
      <x:c r="H55" s="17" t="str">
        <x:v>TJHSST Founders Initiative</x:v>
      </x:c>
      <x:c r="I55" s="17" t="n">
        <x:v>3</x:v>
      </x:c>
    </x:row>
    <x:row r="56">
      <x:c r="A56" s="17" t="str">
        <x:v>Damilola Awofisayo</x:v>
      </x:c>
      <x:c r="B56" s="17" t="str">
        <x:v>2022</x:v>
      </x:c>
      <x:c r="C56" s="17" t="str">
        <x:v>2020s</x:v>
      </x:c>
      <x:c r="D56" s="17" t="n">
        <x:v>1</x:v>
      </x:c>
      <x:c r="E56" s="17" t="str">
        <x:v>TecHacks</x:v>
      </x:c>
      <x:c r="F56" s="17" t="str">
        <x:v>Princeton University</x:v>
      </x:c>
      <x:c r="G56" s="17" t="str">
        <x:v>University cross-search</x:v>
      </x:c>
      <x:c r="H56" s="17" t="str">
        <x:v>Princeton alumni profile</x:v>
      </x:c>
      <x:c r="I56" s="17" t="n">
        <x:v>5</x:v>
      </x:c>
    </x:row>
    <x:row r="57">
      <x:c r="A57" s="17" t="str">
        <x:v>Jack Blair</x:v>
      </x:c>
      <x:c r="B57" s="17" t="str">
        <x:v>2022</x:v>
      </x:c>
      <x:c r="C57" s="17" t="str">
        <x:v>2020s</x:v>
      </x:c>
      <x:c r="D57" s="17" t="n">
        <x:v>2</x:v>
      </x:c>
      <x:c r="E57" s="17" t="str">
        <x:v>Terac; Tailed</x:v>
      </x:c>
      <x:c r="F57" s="17" t="str">
        <x:v>University of Virginia</x:v>
      </x:c>
      <x:c r="G57" s="17" t="str">
        <x:v>TJHSST founder directory</x:v>
      </x:c>
      <x:c r="H57" s="17" t="str">
        <x:v>TJHSST Founders Initiative</x:v>
      </x:c>
      <x:c r="I57" s="17" t="n">
        <x:v>3</x:v>
      </x:c>
    </x:row>
    <x:row r="58">
      <x:c r="A58" s="17" t="str">
        <x:v>Pranav Ravella</x:v>
      </x:c>
      <x:c r="B58" s="17" t="str">
        <x:v>2022</x:v>
      </x:c>
      <x:c r="C58" s="17" t="str">
        <x:v>2020s</x:v>
      </x:c>
      <x:c r="D58" s="17" t="n">
        <x:v>1</x:v>
      </x:c>
      <x:c r="E58" s="17" t="str">
        <x:v>Sapien</x:v>
      </x:c>
      <x:c r="F58" s="17" t="str">
        <x:v>University of Virginia</x:v>
      </x:c>
      <x:c r="G58" s="17" t="str">
        <x:v>TJHSST founder directory</x:v>
      </x:c>
      <x:c r="H58" s="17" t="str">
        <x:v>TJHSST Founders Initiative</x:v>
      </x:c>
      <x:c r="I58" s="17" t="n">
        <x:v>5</x:v>
      </x:c>
    </x:row>
    <x:row r="59">
      <x:c r="A59" s="17" t="str">
        <x:v>Ron Nachum</x:v>
      </x:c>
      <x:c r="B59" s="17" t="str">
        <x:v>2022</x:v>
      </x:c>
      <x:c r="C59" s="17" t="str">
        <x:v>2020s</x:v>
      </x:c>
      <x:c r="D59" s="17" t="n">
        <x:v>1</x:v>
      </x:c>
      <x:c r="E59" s="17" t="str">
        <x:v>Sapien</x:v>
      </x:c>
      <x:c r="F59" s="17" t="str">
        <x:v>University of Virginia</x:v>
      </x:c>
      <x:c r="G59" s="17" t="str">
        <x:v>TJHSST founder directory</x:v>
      </x:c>
      <x:c r="H59" s="17" t="str">
        <x:v>TJHSST Founders Initiative</x:v>
      </x:c>
      <x:c r="I59" s="17" t="n">
        <x:v>5</x:v>
      </x:c>
    </x:row>
    <x:row r="60">
      <x:c r="A60" s="17" t="str">
        <x:v>Anirudh Mantha</x:v>
      </x:c>
      <x:c r="B60" s="17" t="str">
        <x:v>2024</x:v>
      </x:c>
      <x:c r="C60" s="17" t="str">
        <x:v>2020s</x:v>
      </x:c>
      <x:c r="D60" s="17" t="n">
        <x:v>1</x:v>
      </x:c>
      <x:c r="E60" s="17" t="str">
        <x:v>Connected Crosswalk Assistance (CoCA)</x:v>
      </x:c>
      <x:c r="F60" s="17" t="str">
        <x:v>Unknown</x:v>
      </x:c>
      <x:c r="G60" s="17" t="str">
        <x:v>Young-founder search</x:v>
      </x:c>
      <x:c r="H60" s="17" t="str">
        <x:v>CoCA team page</x:v>
      </x:c>
      <x:c r="I60" s="17" t="n">
        <x:v>5</x:v>
      </x:c>
    </x:row>
    <x:row r="61">
      <x:c r="A61" s="17" t="str">
        <x:v>Adithiya Balaguru</x:v>
      </x:c>
      <x:c r="B61" s="17" t="str">
        <x:v>2025</x:v>
      </x:c>
      <x:c r="C61" s="17" t="str">
        <x:v>2020s</x:v>
      </x:c>
      <x:c r="D61" s="17" t="n">
        <x:v>1</x:v>
      </x:c>
      <x:c r="E61" s="17" t="str">
        <x:v>Connected Crosswalk Assistance (CoCA)</x:v>
      </x:c>
      <x:c r="F61" s="17" t="str">
        <x:v>Unknown</x:v>
      </x:c>
      <x:c r="G61" s="17" t="str">
        <x:v>Young-founder search</x:v>
      </x:c>
      <x:c r="H61" s="17" t="str">
        <x:v>CoCA team page</x:v>
      </x:c>
      <x:c r="I61" s="17" t="n">
        <x:v>5</x:v>
      </x:c>
    </x:row>
    <x:row r="62">
      <x:c r="A62" s="17" t="str">
        <x:v>Arnav Bhalla</x:v>
      </x:c>
      <x:c r="B62" s="17" t="str">
        <x:v>2025</x:v>
      </x:c>
      <x:c r="C62" s="17" t="str">
        <x:v>2020s</x:v>
      </x:c>
      <x:c r="D62" s="17" t="n">
        <x:v>1</x:v>
      </x:c>
      <x:c r="E62" s="17" t="str">
        <x:v>Connected Crosswalk Assistance (CoCA)</x:v>
      </x:c>
      <x:c r="F62" s="17" t="str">
        <x:v>Unknown</x:v>
      </x:c>
      <x:c r="G62" s="17" t="str">
        <x:v>Young-founder search</x:v>
      </x:c>
      <x:c r="H62" s="17" t="str">
        <x:v>CoCA team page</x:v>
      </x:c>
      <x:c r="I62" s="17" t="n">
        <x:v>5</x:v>
      </x:c>
    </x:row>
    <x:row r="63">
      <x:c r="A63" s="17" t="str">
        <x:v>Rohith Yelisetty</x:v>
      </x:c>
      <x:c r="B63" s="17" t="str">
        <x:v>2025</x:v>
      </x:c>
      <x:c r="C63" s="17" t="str">
        <x:v>2020s</x:v>
      </x:c>
      <x:c r="D63" s="17" t="n">
        <x:v>1</x:v>
      </x:c>
      <x:c r="E63" s="17" t="str">
        <x:v>Connected Crosswalk Assistance (CoCA)</x:v>
      </x:c>
      <x:c r="F63" s="17" t="str">
        <x:v>Unknown</x:v>
      </x:c>
      <x:c r="G63" s="17" t="str">
        <x:v>Young-founder search</x:v>
      </x:c>
      <x:c r="H63" s="17" t="str">
        <x:v>CoCA team page</x:v>
      </x:c>
      <x:c r="I63" s="17" t="n">
        <x:v>5</x:v>
      </x:c>
    </x:row>
    <x:row r="64">
      <x:c r="A64" s="17" t="str">
        <x:v>Samvrit Rao</x:v>
      </x:c>
      <x:c r="B64" s="17" t="str">
        <x:v>2025</x:v>
      </x:c>
      <x:c r="C64" s="17" t="str">
        <x:v>2020s</x:v>
      </x:c>
      <x:c r="D64" s="17" t="n">
        <x:v>1</x:v>
      </x:c>
      <x:c r="E64" s="17" t="str">
        <x:v>STEMForU</x:v>
      </x:c>
      <x:c r="F64" s="17" t="str">
        <x:v>Columbia University</x:v>
      </x:c>
      <x:c r="G64" s="17" t="str">
        <x:v>Young-founder search</x:v>
      </x:c>
      <x:c r="H64" s="17" t="str">
        <x:v>Nonprofit team page</x:v>
      </x:c>
      <x:c r="I64" s="17" t="n">
        <x:v>4</x:v>
      </x:c>
    </x:row>
    <x:row r="65">
      <x:c r="A65" s="17" t="str">
        <x:v>Tanush Kallem</x:v>
      </x:c>
      <x:c r="B65" s="17" t="str">
        <x:v>2025</x:v>
      </x:c>
      <x:c r="C65" s="17" t="str">
        <x:v>2020s</x:v>
      </x:c>
      <x:c r="D65" s="17" t="n">
        <x:v>1</x:v>
      </x:c>
      <x:c r="E65" s="17" t="str">
        <x:v>Connected Crosswalk Assistance (CoCA)</x:v>
      </x:c>
      <x:c r="F65" s="17" t="str">
        <x:v>Unknown</x:v>
      </x:c>
      <x:c r="G65" s="17" t="str">
        <x:v>Young-founder search</x:v>
      </x:c>
      <x:c r="H65" s="17" t="str">
        <x:v>CoCA team page</x:v>
      </x:c>
      <x:c r="I65" s="17" t="n">
        <x:v>5</x:v>
      </x:c>
    </x:row>
    <x:row r="66">
      <x:c r="A66" s="17" t="str">
        <x:v>Bob Bland</x:v>
      </x:c>
      <x:c r="B66" s="17" t="str">
        <x:v>Unknown</x:v>
      </x:c>
      <x:c r="C66" s="17" t="str">
        <x:v>Unknown</x:v>
      </x:c>
      <x:c r="D66" s="17" t="n">
        <x:v>2</x:v>
      </x:c>
      <x:c r="E66" s="17" t="str">
        <x:v>Brooklyn Royalty; Manufacture New York</x:v>
      </x:c>
      <x:c r="F66" s="17" t="str">
        <x:v>Savannah College of Art and Design</x:v>
      </x:c>
      <x:c r="G66" s="17" t="str">
        <x:v>Historical alumni archive</x:v>
      </x:c>
      <x:c r="H66" s="17" t="str">
        <x:v>TJHSST Founders Initiative</x:v>
      </x:c>
      <x:c r="I66" s="17" t="n">
        <x:v>3</x:v>
      </x:c>
    </x:row>
    <x:row r="67">
      <x:c r="A67" s="17" t="str">
        <x:v>Brendan McCord</x:v>
      </x:c>
      <x:c r="B67" s="17" t="str">
        <x:v>Unknown</x:v>
      </x:c>
      <x:c r="C67" s="17" t="str">
        <x:v>Unknown</x:v>
      </x:c>
      <x:c r="D67" s="17" t="n">
        <x:v>1</x:v>
      </x:c>
      <x:c r="E67" s="17" t="str">
        <x:v>Cosmos Institute</x:v>
      </x:c>
      <x:c r="F67" s="17" t="str">
        <x:v>MIT</x:v>
      </x:c>
      <x:c r="G67" s="17" t="str">
        <x:v>TJHSST founder directory</x:v>
      </x:c>
      <x:c r="H67" s="17" t="str">
        <x:v>TJHSST Founders Initiative</x:v>
      </x:c>
      <x:c r="I67" s="17" t="n">
        <x:v>3</x:v>
      </x:c>
    </x:row>
    <x:row r="68">
      <x:c r="A68" s="17" t="str">
        <x:v>Brian Zhou</x:v>
      </x:c>
      <x:c r="B68" s="17" t="str">
        <x:v>Unknown</x:v>
      </x:c>
      <x:c r="C68" s="17" t="str">
        <x:v>Unknown</x:v>
      </x:c>
      <x:c r="D68" s="17" t="n">
        <x:v>1</x:v>
      </x:c>
      <x:c r="E68" s="17" t="str">
        <x:v>Forge (formerly Applied37/a37)</x:v>
      </x:c>
      <x:c r="F68" s="17" t="str">
        <x:v>Unknown</x:v>
      </x:c>
      <x:c r="G68" s="17" t="str">
        <x:v>TJHSST founder directory</x:v>
      </x:c>
      <x:c r="H68" s="17" t="str">
        <x:v>TJHSST Founders Initiative</x:v>
      </x:c>
      <x:c r="I68" s="17" t="n">
        <x:v>4</x:v>
      </x:c>
    </x:row>
    <x:row r="69">
      <x:c r="A69" s="17" t="str">
        <x:v>Darius Kazemi</x:v>
      </x:c>
      <x:c r="B69" s="17" t="str">
        <x:v>Unknown</x:v>
      </x:c>
      <x:c r="C69" s="17" t="str">
        <x:v>Unknown</x:v>
      </x:c>
      <x:c r="D69" s="17" t="n">
        <x:v>1</x:v>
      </x:c>
      <x:c r="E69" s="17" t="str">
        <x:v>Feel Train</x:v>
      </x:c>
      <x:c r="F69" s="17" t="str">
        <x:v>Worcester Polytechnic Institute</x:v>
      </x:c>
      <x:c r="G69" s="17" t="str">
        <x:v>TJHSST founder directory</x:v>
      </x:c>
      <x:c r="H69" s="17" t="str">
        <x:v>TJHSST Founders Initiative</x:v>
      </x:c>
      <x:c r="I69" s="17" t="n">
        <x:v>3</x:v>
      </x:c>
    </x:row>
    <x:row r="70">
      <x:c r="A70" s="17" t="str">
        <x:v>David Rosenthal</x:v>
      </x:c>
      <x:c r="B70" s="17" t="str">
        <x:v>Unknown</x:v>
      </x:c>
      <x:c r="C70" s="17" t="str">
        <x:v>Unknown</x:v>
      </x:c>
      <x:c r="D70" s="17" t="n">
        <x:v>1</x:v>
      </x:c>
      <x:c r="E70" s="17" t="str">
        <x:v>FoundationDB</x:v>
      </x:c>
      <x:c r="F70" s="17" t="str">
        <x:v>Unknown</x:v>
      </x:c>
      <x:c r="G70" s="17" t="str">
        <x:v>Historical-company search</x:v>
      </x:c>
      <x:c r="H70" s="17" t="str">
        <x:v>Washington Post TJ founder profile</x:v>
      </x:c>
      <x:c r="I70" s="17" t="n">
        <x:v>5</x:v>
      </x:c>
    </x:row>
    <x:row r="71">
      <x:c r="A71" s="17" t="str">
        <x:v>David Scherer</x:v>
      </x:c>
      <x:c r="B71" s="17" t="str">
        <x:v>Unknown</x:v>
      </x:c>
      <x:c r="C71" s="17" t="str">
        <x:v>Unknown</x:v>
      </x:c>
      <x:c r="D71" s="17" t="n">
        <x:v>2</x:v>
      </x:c>
      <x:c r="E71" s="17" t="str">
        <x:v>FoundationDB; Visual Sciences</x:v>
      </x:c>
      <x:c r="F71" s="17" t="str">
        <x:v>Unknown</x:v>
      </x:c>
      <x:c r="G71" s="17" t="str">
        <x:v>Recursive founder-network expansion</x:v>
      </x:c>
      <x:c r="H71" s="17" t="str">
        <x:v>David Rosenthal network expansion</x:v>
      </x:c>
      <x:c r="I71" s="17" t="n">
        <x:v>4</x:v>
      </x:c>
    </x:row>
    <x:row r="72">
      <x:c r="A72" s="17" t="str">
        <x:v>Jeffery Liu</x:v>
      </x:c>
      <x:c r="B72" s="17" t="str">
        <x:v>Unknown</x:v>
      </x:c>
      <x:c r="C72" s="17" t="str">
        <x:v>Unknown</x:v>
      </x:c>
      <x:c r="D72" s="17" t="n">
        <x:v>1</x:v>
      </x:c>
      <x:c r="E72" s="17" t="str">
        <x:v>Assort Health</x:v>
      </x:c>
      <x:c r="F72" s="17" t="str">
        <x:v>Harvard University</x:v>
      </x:c>
      <x:c r="G72" s="17" t="str">
        <x:v>TJHSST founder directory</x:v>
      </x:c>
      <x:c r="H72" s="17" t="str">
        <x:v>TJHSST Founders Initiative</x:v>
      </x:c>
      <x:c r="I72" s="17" t="n">
        <x:v>4</x:v>
      </x:c>
    </x:row>
    <x:row r="73">
      <x:c r="A73" s="17" t="str">
        <x:v>Kathryn Minshew</x:v>
      </x:c>
      <x:c r="B73" s="17" t="str">
        <x:v>Unknown</x:v>
      </x:c>
      <x:c r="C73" s="17" t="str">
        <x:v>Unknown</x:v>
      </x:c>
      <x:c r="D73" s="17" t="n">
        <x:v>2</x:v>
      </x:c>
      <x:c r="E73" s="17" t="str">
        <x:v>The Muse; Pretty Young Professionals</x:v>
      </x:c>
      <x:c r="F73" s="17" t="str">
        <x:v>Duke University</x:v>
      </x:c>
      <x:c r="G73" s="17" t="str">
        <x:v>TJHSST founder directory</x:v>
      </x:c>
      <x:c r="H73" s="17" t="str">
        <x:v>TJHSST Founders Initiative</x:v>
      </x:c>
      <x:c r="I73" s="17" t="n">
        <x:v>3</x:v>
      </x:c>
    </x:row>
    <x:row r="74">
      <x:c r="A74" s="17" t="str">
        <x:v>Matthew Mueller</x:v>
      </x:c>
      <x:c r="B74" s="17" t="str">
        <x:v>Unknown</x:v>
      </x:c>
      <x:c r="C74" s="17" t="str">
        <x:v>Unknown</x:v>
      </x:c>
      <x:c r="D74" s="17" t="n">
        <x:v>1</x:v>
      </x:c>
      <x:c r="E74" s="17" t="str">
        <x:v>Knot Standard</x:v>
      </x:c>
      <x:c r="F74" s="17" t="str">
        <x:v>University of Virginia</x:v>
      </x:c>
      <x:c r="G74" s="17" t="str">
        <x:v>LinkedIn/biography cross-search</x:v>
      </x:c>
      <x:c r="H74" s="17" t="str">
        <x:v>UVA founder profile</x:v>
      </x:c>
      <x:c r="I74" s="17" t="n">
        <x:v>5</x:v>
      </x:c>
    </x:row>
    <x:row r="75">
      <x:c r="A75" s="17" t="str">
        <x:v>Riya Dev</x:v>
      </x:c>
      <x:c r="B75" s="17" t="str">
        <x:v>Unknown</x:v>
      </x:c>
      <x:c r="C75" s="17" t="str">
        <x:v>Unknown</x:v>
      </x:c>
      <x:c r="D75" s="17" t="n">
        <x:v>1</x:v>
      </x:c>
      <x:c r="E75" s="17" t="str">
        <x:v>Dezu</x:v>
      </x:c>
      <x:c r="F75" s="17" t="str">
        <x:v>University of Pennsylvania</x:v>
      </x:c>
      <x:c r="G75" s="17" t="str">
        <x:v>TJHSST founder directory</x:v>
      </x:c>
      <x:c r="H75" s="17" t="str">
        <x:v>TJHSST Founders Initiative</x:v>
      </x:c>
      <x:c r="I75" s="17" t="n">
        <x:v>4</x:v>
      </x:c>
    </x:row>
    <x:row r="76">
      <x:c r="A76" s="17" t="str">
        <x:v>Rohan Kalahasty</x:v>
      </x:c>
      <x:c r="B76" s="17" t="str">
        <x:v>Unknown</x:v>
      </x:c>
      <x:c r="C76" s="17" t="str">
        <x:v>Unknown</x:v>
      </x:c>
      <x:c r="D76" s="17" t="n">
        <x:v>1</x:v>
      </x:c>
      <x:c r="E76" s="17" t="str">
        <x:v>Forge (formerly Applied37/a37)</x:v>
      </x:c>
      <x:c r="F76" s="17" t="str">
        <x:v>Unknown</x:v>
      </x:c>
      <x:c r="G76" s="17" t="str">
        <x:v>TJHSST founder directory</x:v>
      </x:c>
      <x:c r="H76" s="17" t="str">
        <x:v>TJHSST Founders Initiative</x:v>
      </x:c>
      <x:c r="I76" s="17" t="n">
        <x:v>4</x:v>
      </x:c>
    </x:row>
    <x:row r="77">
      <x:c r="A77" s="17" t="str">
        <x:v>Sathvik Redrouthu</x:v>
      </x:c>
      <x:c r="B77" s="17" t="str">
        <x:v>Unknown</x:v>
      </x:c>
      <x:c r="C77" s="17" t="str">
        <x:v>Unknown</x:v>
      </x:c>
      <x:c r="D77" s="17" t="n">
        <x:v>1</x:v>
      </x:c>
      <x:c r="E77" s="17" t="str">
        <x:v>Instachip</x:v>
      </x:c>
      <x:c r="F77" s="17" t="str">
        <x:v>University of Virginia</x:v>
      </x:c>
      <x:c r="G77" s="17" t="str">
        <x:v>TJHSST founder directory</x:v>
      </x:c>
      <x:c r="H77" s="17" t="str">
        <x:v>TJHSST Founders Initiative</x:v>
      </x:c>
      <x:c r="I77" s="17" t="n">
        <x:v>4</x:v>
      </x:c>
    </x:row>
    <x:row r="78">
      <x:c r="A78" s="17" t="str">
        <x:v>Satvika Kumar</x:v>
      </x:c>
      <x:c r="B78" s="17" t="str">
        <x:v>Unknown</x:v>
      </x:c>
      <x:c r="C78" s="17" t="str">
        <x:v>Unknown</x:v>
      </x:c>
      <x:c r="D78" s="17" t="n">
        <x:v>1</x:v>
      </x:c>
      <x:c r="E78" s="17" t="str">
        <x:v>Learning Pathways Project</x:v>
      </x:c>
      <x:c r="F78" s="17" t="str">
        <x:v>Unknown</x:v>
      </x:c>
      <x:c r="G78" s="17" t="str">
        <x:v>TJ/FCPS student publication</x:v>
      </x:c>
      <x:c r="H78" s="17" t="str">
        <x:v>WashingtonExec TJ STEM profile</x:v>
      </x:c>
      <x:c r="I78" s="17" t="n">
        <x:v>4</x:v>
      </x:c>
    </x:row>
    <x:row r="79">
      <x:c r="A79" s="17" t="str">
        <x:v>Sritan Motati</x:v>
      </x:c>
      <x:c r="B79" s="17" t="str">
        <x:v>Unknown</x:v>
      </x:c>
      <x:c r="C79" s="17" t="str">
        <x:v>Unknown</x:v>
      </x:c>
      <x:c r="D79" s="17" t="n">
        <x:v>1</x:v>
      </x:c>
      <x:c r="E79" s="17" t="str">
        <x:v>Forge (formerly Applied37/a37)</x:v>
      </x:c>
      <x:c r="F79" s="17" t="str">
        <x:v>Unknown</x:v>
      </x:c>
      <x:c r="G79" s="17" t="str">
        <x:v>TJHSST founder directory</x:v>
      </x:c>
      <x:c r="H79" s="17" t="str">
        <x:v>TJHSST Founders Initiative</x:v>
      </x:c>
      <x:c r="I79" s="17" t="n">
        <x:v>4</x:v>
      </x:c>
    </x:row>
    <x:row r="80">
      <x:c r="A80" s="17" t="str">
        <x:v>Tahsin Zaman</x:v>
      </x:c>
      <x:c r="B80" s="17" t="str">
        <x:v>Unknown</x:v>
      </x:c>
      <x:c r="C80" s="17" t="str">
        <x:v>Unknown</x:v>
      </x:c>
      <x:c r="D80" s="17" t="n">
        <x:v>1</x:v>
      </x:c>
      <x:c r="E80" s="17" t="str">
        <x:v>Forge (formerly Applied37/a37)</x:v>
      </x:c>
      <x:c r="F80" s="17" t="str">
        <x:v>Unknown</x:v>
      </x:c>
      <x:c r="G80" s="17" t="str">
        <x:v>TJHSST founder directory</x:v>
      </x:c>
      <x:c r="H80" s="17" t="str">
        <x:v>TJHSST Founders Initiative</x:v>
      </x:c>
      <x:c r="I80" s="17" t="n">
        <x:v>4</x:v>
      </x:c>
    </x:row>
    <x:row r="81">
      <x:c r="A81" s="17" t="str">
        <x:v>Waseem Daher</x:v>
      </x:c>
      <x:c r="B81" s="17" t="str">
        <x:v>Unknown</x:v>
      </x:c>
      <x:c r="C81" s="17" t="str">
        <x:v>Unknown</x:v>
      </x:c>
      <x:c r="D81" s="17" t="n">
        <x:v>3</x:v>
      </x:c>
      <x:c r="E81" s="17" t="str">
        <x:v>Ksplice; Zulip; Pilot</x:v>
      </x:c>
      <x:c r="F81" s="17" t="str">
        <x:v>MIT</x:v>
      </x:c>
      <x:c r="G81" s="17" t="str">
        <x:v>Recursive founder-network expansion</x:v>
      </x:c>
      <x:c r="H81" s="17" t="str">
        <x:v>Jeff Arnold network expansion</x:v>
      </x:c>
      <x:c r="I81" s="17" t="n">
        <x:v>5</x:v>
      </x:c>
    </x:row>
    <x:row r="82">
      <x:c r="A82" s="17" t="str">
        <x:v>Zac Baker</x:v>
      </x:c>
      <x:c r="B82" s="17" t="str">
        <x:v>Unknown</x:v>
      </x:c>
      <x:c r="C82" s="17" t="str">
        <x:v>Unknown</x:v>
      </x:c>
      <x:c r="D82" s="17" t="n">
        <x:v>1</x:v>
      </x:c>
      <x:c r="E82" s="17" t="str">
        <x:v>Terac</x:v>
      </x:c>
      <x:c r="F82" s="17" t="str">
        <x:v>Unknown</x:v>
      </x:c>
      <x:c r="G82" s="17" t="str">
        <x:v>TJHSST founder directory</x:v>
      </x:c>
      <x:c r="H82" s="17" t="str">
        <x:v>TJHSST Founders Initiative</x:v>
      </x:c>
      <x:c r="I82" s="17" t="n">
        <x:v>4</x:v>
      </x:c>
    </x:row>
    <x:row r="83">
      <x:c r="A83" s="17" t="str">
        <x:v>Zarif Azher</x:v>
      </x:c>
      <x:c r="B83" s="17" t="str">
        <x:v>Unknown</x:v>
      </x:c>
      <x:c r="C83" s="17" t="str">
        <x:v>Unknown</x:v>
      </x:c>
      <x:c r="D83" s="17" t="n">
        <x:v>1</x:v>
      </x:c>
      <x:c r="E83" s="17" t="str">
        <x:v>Nexa Labs</x:v>
      </x:c>
      <x:c r="F83" s="17" t="str">
        <x:v>University of Virginia</x:v>
      </x:c>
      <x:c r="G83" s="17" t="str">
        <x:v>TJHSST founder directory</x:v>
      </x:c>
      <x:c r="H83" s="17" t="str">
        <x:v>TJHSST Founders Initiative</x:v>
      </x:c>
      <x:c r="I83" s="17" t="n">
        <x:v>4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14124f6b676487e"/>
  </x:tableParts>
</x:worksheet>
</file>

<file path=xl/worksheets/sheet3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1" ySplit="12" topLeftCell="B13" activePane="bottomRight" state="frozen"/>
    </x:sheetView>
  </x:sheetViews>
  <x:sheetFormatPr defaultRowHeight="15"/>
  <x:cols>
    <x:col min="1" max="1" width="24" hidden="0" customWidth="1"/>
    <x:col min="2" max="2" width="12" hidden="0" customWidth="1"/>
    <x:col min="3" max="3" width="20" hidden="0" customWidth="1"/>
    <x:col min="4" max="4" width="24" hidden="0" customWidth="1"/>
    <x:col min="5" max="5" width="20" hidden="0" customWidth="1"/>
    <x:col min="6" max="6" width="15" hidden="0" customWidth="1"/>
    <x:col min="7" max="7" width="28" hidden="0" customWidth="1"/>
    <x:col min="8" max="8" width="18" hidden="0" customWidth="1"/>
    <x:col min="9" max="9" width="12" hidden="0" customWidth="1"/>
    <x:col min="10" max="10" width="18" hidden="0" customWidth="1"/>
    <x:col min="11" max="11" width="40" hidden="0" customWidth="1"/>
    <x:col min="12" max="12" width="30" hidden="0" customWidth="1"/>
  </x:cols>
  <x:sheetData>
    <x:row r="1" ht="30" customHeight="1">
      <x:c r="A1" s="4" t="str">
        <x:v>Companies Summary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8" customHeight="1">
      <x:c r="A2" s="7" t="str">
        <x:v>Company-level rollup. Funding totals are deduplicated by canonical company and reflect only numeric public amounts captured in the research.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2" customHeight="1">
      <x:c r="A4" s="13" t="str">
        <x:v>Metric</x:v>
      </x:c>
      <x:c r="B4" s="13" t="str">
        <x:v>Value</x:v>
      </x:c>
      <x:c r="D4" s="13" t="str">
        <x:v>Industry</x:v>
      </x:c>
      <x:c r="E4" s="13" t="str">
        <x:v>Company count</x:v>
      </x:c>
    </x:row>
    <x:row r="5">
      <x:c r="A5" s="20" t="str">
        <x:v>Unique companies</x:v>
      </x:c>
      <x:c r="B5" s="20" t="n">
        <x:f>COUNTA(A13:A107)</x:f>
        <x:v>95</x:v>
      </x:c>
      <x:c r="D5" s="22" t="str">
        <x:v>Nonprofit</x:v>
      </x:c>
      <x:c r="E5" s="22" t="n">
        <x:v>13</x:v>
      </x:c>
    </x:row>
    <x:row r="6">
      <x:c r="A6" s="20" t="str">
        <x:v>Active companies</x:v>
      </x:c>
      <x:c r="B6" s="20" t="n">
        <x:f>COUNTIF(B13:B107,"Active")</x:f>
        <x:v>47</x:v>
      </x:c>
      <x:c r="D6" s="22" t="str">
        <x:v>Artificial Intelligence</x:v>
      </x:c>
      <x:c r="E6" s="22" t="n">
        <x:v>12</x:v>
      </x:c>
    </x:row>
    <x:row r="7">
      <x:c r="A7" s="20" t="str">
        <x:v>Acquired companies</x:v>
      </x:c>
      <x:c r="B7" s="20" t="n">
        <x:f>COUNTIF(B13:B107,"Acquired")</x:f>
        <x:v>17</x:v>
      </x:c>
      <x:c r="D7" s="22" t="str">
        <x:v>Consumer</x:v>
      </x:c>
      <x:c r="E7" s="22" t="n">
        <x:v>8</x:v>
      </x:c>
    </x:row>
    <x:row r="8">
      <x:c r="A8" s="20" t="str">
        <x:v>Public companies</x:v>
      </x:c>
      <x:c r="B8" s="20" t="n">
        <x:f>COUNTIF(B13:B107,"Public")</x:f>
        <x:v>5</x:v>
      </x:c>
      <x:c r="D8" s="22" t="str">
        <x:v>Enterprise Software</x:v>
      </x:c>
      <x:c r="E8" s="22" t="n">
        <x:v>8</x:v>
      </x:c>
    </x:row>
    <x:row r="9">
      <x:c r="A9" s="20" t="str">
        <x:v>Closed companies</x:v>
      </x:c>
      <x:c r="B9" s="20" t="n">
        <x:f>COUNTIF(B13:B107,"Closed")</x:f>
        <x:v>16</x:v>
      </x:c>
      <x:c r="D9" s="22" t="str">
        <x:v>Other</x:v>
      </x:c>
      <x:c r="E9" s="22" t="n">
        <x:v>8</x:v>
      </x:c>
    </x:row>
    <x:row r="10">
      <x:c r="A10" s="20" t="str">
        <x:v>Captured funding (USD)</x:v>
      </x:c>
      <x:c r="B10" s="25" t="n">
        <x:f>SUM(H13:H107)</x:f>
        <x:v>1093484000</x:v>
      </x:c>
      <x:c r="D10" s="22" t="str">
        <x:v>Fintech</x:v>
      </x:c>
      <x:c r="E10" s="22" t="n">
        <x:v>7</x:v>
      </x:c>
    </x:row>
    <x:row r="11">
      <x:c r="D11" s="22" t="str">
        <x:v>Biotech</x:v>
      </x:c>
      <x:c r="E11" s="22" t="n">
        <x:v>5</x:v>
      </x:c>
    </x:row>
    <x:row r="12" ht="32" customHeight="1">
      <x:c r="A12" s="13" t="str">
        <x:v>company_name</x:v>
      </x:c>
      <x:c r="B12" s="13" t="str">
        <x:v>status</x:v>
      </x:c>
      <x:c r="C12" s="13" t="str">
        <x:v>industry</x:v>
      </x:c>
      <x:c r="D12" s="13" t="str">
        <x:v>subindustry</x:v>
      </x:c>
      <x:c r="E12" s="13" t="str">
        <x:v>headquarters</x:v>
      </x:c>
      <x:c r="F12" s="13" t="str">
        <x:v>venture_backed</x:v>
      </x:c>
      <x:c r="G12" s="13" t="str">
        <x:v>total_funding</x:v>
      </x:c>
      <x:c r="H12" s="13" t="str">
        <x:v>numeric_funding_usd</x:v>
      </x:c>
      <x:c r="I12" s="13" t="str">
        <x:v>founder_count</x:v>
      </x:c>
      <x:c r="J12" s="13" t="str">
        <x:v>accelerator</x:v>
      </x:c>
      <x:c r="K12" s="13" t="str">
        <x:v>notable_investors</x:v>
      </x:c>
      <x:c r="L12" s="13" t="str">
        <x:v>acquisition_or_exit</x:v>
      </x:c>
    </x:row>
    <x:row r="13">
      <x:c r="A13" s="17" t="str">
        <x:v>Indigo Agriculture</x:v>
      </x:c>
      <x:c r="B13" s="17" t="str">
        <x:v>Active</x:v>
      </x:c>
      <x:c r="C13" s="17" t="str">
        <x:v>Agriculture</x:v>
      </x:c>
      <x:c r="D13" s="17" t="str">
        <x:v>Agricultural technology</x:v>
      </x:c>
      <x:c r="E13" s="17" t="str">
        <x:v>Boston, MA</x:v>
      </x:c>
      <x:c r="F13" s="17" t="str">
        <x:v>Yes</x:v>
      </x:c>
      <x:c r="G13" s="17" t="str">
        <x:v>Unknown</x:v>
      </x:c>
      <x:c r="H13" s="29" t="n">
        <x:v>0</x:v>
      </x:c>
      <x:c r="I13" s="17" t="n">
        <x:v>1</x:v>
      </x:c>
      <x:c r="J13" s="17" t="str">
        <x:v>Flagship Pioneering</x:v>
      </x:c>
      <x:c r="K13" s="17" t="str">
        <x:v>Flagship Pioneering; others</x:v>
      </x:c>
      <x:c r="L13" s="17" t="str">
        <x:v>None known</x:v>
      </x:c>
    </x:row>
    <x:row r="14">
      <x:c r="A14" s="17" t="str">
        <x:v>Strella</x:v>
      </x:c>
      <x:c r="B14" s="17" t="str">
        <x:v>Active</x:v>
      </x:c>
      <x:c r="C14" s="17" t="str">
        <x:v>Agriculture</x:v>
      </x:c>
      <x:c r="D14" s="17" t="str">
        <x:v>Produce supply-chain sensors</x:v>
      </x:c>
      <x:c r="E14" s="17" t="str">
        <x:v>Philadelphia, PA</x:v>
      </x:c>
      <x:c r="F14" s="17" t="str">
        <x:v>Yes</x:v>
      </x:c>
      <x:c r="G14" s="17" t="str">
        <x:v>At least $14M publicly announced</x:v>
      </x:c>
      <x:c r="H14" s="29" t="n">
        <x:v>14000000</x:v>
      </x:c>
      <x:c r="I14" s="17" t="n">
        <x:v>2</x:v>
      </x:c>
      <x:c r="J14" s="17" t="str">
        <x:v>Unknown</x:v>
      </x:c>
      <x:c r="K14" s="17" t="str">
        <x:v>Bessemer Venture Partners; others</x:v>
      </x:c>
      <x:c r="L14" s="17" t="str">
        <x:v>None known</x:v>
      </x:c>
    </x:row>
    <x:row r="15">
      <x:c r="A15" s="17" t="str">
        <x:v>Apropose</x:v>
      </x:c>
      <x:c r="B15" s="17" t="str">
        <x:v>Closed</x:v>
      </x:c>
      <x:c r="C15" s="17" t="str">
        <x:v>Artificial Intelligence</x:v>
      </x:c>
      <x:c r="D15" s="17" t="str">
        <x:v>Interior-design visualization</x:v>
      </x:c>
      <x:c r="E15" s="17" t="str">
        <x:v>Palo Alto, CA</x:v>
      </x:c>
      <x:c r="F15" s="17" t="str">
        <x:v>Yes</x:v>
      </x:c>
      <x:c r="G15" s="17" t="str">
        <x:v>Unknown</x:v>
      </x:c>
      <x:c r="H15" s="29" t="n">
        <x:v>0</x:v>
      </x:c>
      <x:c r="I15" s="17" t="n">
        <x:v>1</x:v>
      </x:c>
      <x:c r="J15" s="17" t="str">
        <x:v>Unknown</x:v>
      </x:c>
      <x:c r="K15" s="17" t="str">
        <x:v>Unknown</x:v>
      </x:c>
      <x:c r="L15" s="17" t="str">
        <x:v>Closed</x:v>
      </x:c>
    </x:row>
    <x:row r="16">
      <x:c r="A16" s="17" t="str">
        <x:v>Autovision Technologies</x:v>
      </x:c>
      <x:c r="B16" s="17" t="str">
        <x:v>Unknown</x:v>
      </x:c>
      <x:c r="C16" s="17" t="str">
        <x:v>Artificial Intelligence</x:v>
      </x:c>
      <x:c r="D16" s="17" t="str">
        <x:v>Computer vision</x:v>
      </x:c>
      <x:c r="E16" s="17" t="str">
        <x:v>Philadelphia, PA</x:v>
      </x:c>
      <x:c r="F16" s="17" t="str">
        <x:v>Unknown</x:v>
      </x:c>
      <x:c r="G16" s="17" t="str">
        <x:v>Unknown</x:v>
      </x:c>
      <x:c r="H16" s="29" t="n">
        <x:v>0</x:v>
      </x:c>
      <x:c r="I16" s="17" t="n">
        <x:v>1</x:v>
      </x:c>
      <x:c r="J16" s="17" t="str">
        <x:v>Unknown</x:v>
      </x:c>
      <x:c r="K16" s="17" t="str">
        <x:v>Unknown</x:v>
      </x:c>
      <x:c r="L16" s="17" t="str">
        <x:v>Unknown</x:v>
      </x:c>
    </x:row>
    <x:row r="17">
      <x:c r="A17" s="17" t="str">
        <x:v>Cofactory</x:v>
      </x:c>
      <x:c r="B17" s="17" t="str">
        <x:v>Active</x:v>
      </x:c>
      <x:c r="C17" s="17" t="str">
        <x:v>Artificial Intelligence</x:v>
      </x:c>
      <x:c r="D17" s="17" t="str">
        <x:v>AI company-building</x:v>
      </x:c>
      <x:c r="E17" s="17" t="str">
        <x:v>San Francisco, CA</x:v>
      </x:c>
      <x:c r="F17" s="17" t="str">
        <x:v>Unknown</x:v>
      </x:c>
      <x:c r="G17" s="17" t="str">
        <x:v>Unknown</x:v>
      </x:c>
      <x:c r="H17" s="29" t="n">
        <x:v>0</x:v>
      </x:c>
      <x:c r="I17" s="17" t="n">
        <x:v>1</x:v>
      </x:c>
      <x:c r="J17" s="17" t="str">
        <x:v>Unknown</x:v>
      </x:c>
      <x:c r="K17" s="17" t="str">
        <x:v>Unknown</x:v>
      </x:c>
      <x:c r="L17" s="17" t="str">
        <x:v>None known</x:v>
      </x:c>
    </x:row>
    <x:row r="18">
      <x:c r="A18" s="17" t="str">
        <x:v>Covalent</x:v>
      </x:c>
      <x:c r="B18" s="17" t="str">
        <x:v>Acquired</x:v>
      </x:c>
      <x:c r="C18" s="17" t="str">
        <x:v>Artificial Intelligence</x:v>
      </x:c>
      <x:c r="D18" s="17" t="str">
        <x:v>Machine-learning operations</x:v>
      </x:c>
      <x:c r="E18" s="17" t="str">
        <x:v>San Francisco, CA</x:v>
      </x:c>
      <x:c r="F18" s="17" t="str">
        <x:v>Yes</x:v>
      </x:c>
      <x:c r="G18" s="17" t="str">
        <x:v>Unknown</x:v>
      </x:c>
      <x:c r="H18" s="29" t="n">
        <x:v>0</x:v>
      </x:c>
      <x:c r="I18" s="17" t="n">
        <x:v>1</x:v>
      </x:c>
      <x:c r="J18" s="17" t="str">
        <x:v>Unknown</x:v>
      </x:c>
      <x:c r="K18" s="17" t="str">
        <x:v>Unknown</x:v>
      </x:c>
      <x:c r="L18" s="17" t="str">
        <x:v>Acquired</x:v>
      </x:c>
    </x:row>
    <x:row r="19">
      <x:c r="A19" s="17" t="str">
        <x:v>Dezu</x:v>
      </x:c>
      <x:c r="B19" s="17" t="str">
        <x:v>Closed</x:v>
      </x:c>
      <x:c r="C19" s="17" t="str">
        <x:v>Artificial Intelligence</x:v>
      </x:c>
      <x:c r="D19" s="17" t="str">
        <x:v>AI software</x:v>
      </x:c>
      <x:c r="E19" s="17" t="str">
        <x:v>Unknown</x:v>
      </x:c>
      <x:c r="F19" s="17" t="str">
        <x:v>Yes</x:v>
      </x:c>
      <x:c r="G19" s="17" t="str">
        <x:v>Unknown</x:v>
      </x:c>
      <x:c r="H19" s="29" t="n">
        <x:v>0</x:v>
      </x:c>
      <x:c r="I19" s="17" t="n">
        <x:v>1</x:v>
      </x:c>
      <x:c r="J19" s="17" t="str">
        <x:v>Telora</x:v>
      </x:c>
      <x:c r="K19" s="17" t="str">
        <x:v>Telora</x:v>
      </x:c>
      <x:c r="L19" s="17" t="str">
        <x:v>Closed</x:v>
      </x:c>
    </x:row>
    <x:row r="20">
      <x:c r="A20" s="17" t="str">
        <x:v>Forge (formerly Applied37/a37)</x:v>
      </x:c>
      <x:c r="B20" s="17" t="str">
        <x:v>Active</x:v>
      </x:c>
      <x:c r="C20" s="17" t="str">
        <x:v>Artificial Intelligence</x:v>
      </x:c>
      <x:c r="D20" s="17" t="str">
        <x:v>AI software engineering</x:v>
      </x:c>
      <x:c r="E20" s="17" t="str">
        <x:v>San Francisco, CA</x:v>
      </x:c>
      <x:c r="F20" s="17" t="str">
        <x:v>Yes</x:v>
      </x:c>
      <x:c r="G20" s="17" t="str">
        <x:v>Undisclosed seed round</x:v>
      </x:c>
      <x:c r="H20" s="29" t="n">
        <x:v>0</x:v>
      </x:c>
      <x:c r="I20" s="17" t="n">
        <x:v>4</x:v>
      </x:c>
      <x:c r="J20" s="17" t="str">
        <x:v>Unknown</x:v>
      </x:c>
      <x:c r="K20" s="17" t="str">
        <x:v>Unknown</x:v>
      </x:c>
      <x:c r="L20" s="17" t="str">
        <x:v>None known</x:v>
      </x:c>
    </x:row>
    <x:row r="21">
      <x:c r="A21" s="17" t="str">
        <x:v>Glimpse</x:v>
      </x:c>
      <x:c r="B21" s="17" t="str">
        <x:v>Active</x:v>
      </x:c>
      <x:c r="C21" s="17" t="str">
        <x:v>Artificial Intelligence</x:v>
      </x:c>
      <x:c r="D21" s="17" t="str">
        <x:v>CPG analytics</x:v>
      </x:c>
      <x:c r="E21" s="17" t="str">
        <x:v>New York, NY</x:v>
      </x:c>
      <x:c r="F21" s="17" t="str">
        <x:v>Yes</x:v>
      </x:c>
      <x:c r="G21" s="17" t="str">
        <x:v>$52M publicly reported</x:v>
      </x:c>
      <x:c r="H21" s="29" t="n">
        <x:v>52000000</x:v>
      </x:c>
      <x:c r="I21" s="17" t="n">
        <x:v>1</x:v>
      </x:c>
      <x:c r="J21" s="17" t="str">
        <x:v>Y Combinator W20</x:v>
      </x:c>
      <x:c r="K21" s="17" t="str">
        <x:v>Andreessen Horowitz; 8VC; others</x:v>
      </x:c>
      <x:c r="L21" s="17" t="str">
        <x:v>None known</x:v>
      </x:c>
    </x:row>
    <x:row r="22">
      <x:c r="A22" s="17" t="str">
        <x:v>Lila Sciences</x:v>
      </x:c>
      <x:c r="B22" s="17" t="str">
        <x:v>Active</x:v>
      </x:c>
      <x:c r="C22" s="17" t="str">
        <x:v>Artificial Intelligence</x:v>
      </x:c>
      <x:c r="D22" s="17" t="str">
        <x:v>Scientific discovery</x:v>
      </x:c>
      <x:c r="E22" s="17" t="str">
        <x:v>Cambridge, MA</x:v>
      </x:c>
      <x:c r="F22" s="17" t="str">
        <x:v>Yes</x:v>
      </x:c>
      <x:c r="G22" s="17" t="str">
        <x:v>Unknown</x:v>
      </x:c>
      <x:c r="H22" s="29" t="n">
        <x:v>0</x:v>
      </x:c>
      <x:c r="I22" s="17" t="n">
        <x:v>1</x:v>
      </x:c>
      <x:c r="J22" s="17" t="str">
        <x:v>Flagship Pioneering</x:v>
      </x:c>
      <x:c r="K22" s="17" t="str">
        <x:v>Flagship Pioneering; others</x:v>
      </x:c>
      <x:c r="L22" s="17" t="str">
        <x:v>None known</x:v>
      </x:c>
    </x:row>
    <x:row r="23">
      <x:c r="A23" s="17" t="str">
        <x:v>Quotain (Eden AI)</x:v>
      </x:c>
      <x:c r="B23" s="17" t="str">
        <x:v>Active</x:v>
      </x:c>
      <x:c r="C23" s="17" t="str">
        <x:v>Artificial Intelligence</x:v>
      </x:c>
      <x:c r="D23" s="17" t="str">
        <x:v>AI market intelligence</x:v>
      </x:c>
      <x:c r="E23" s="17" t="str">
        <x:v>San Francisco, CA</x:v>
      </x:c>
      <x:c r="F23" s="17" t="str">
        <x:v>Yes</x:v>
      </x:c>
      <x:c r="G23" s="17" t="str">
        <x:v>Unknown</x:v>
      </x:c>
      <x:c r="H23" s="29" t="n">
        <x:v>0</x:v>
      </x:c>
      <x:c r="I23" s="17" t="n">
        <x:v>2</x:v>
      </x:c>
      <x:c r="J23" s="17" t="str">
        <x:v>Y Combinator S25</x:v>
      </x:c>
      <x:c r="K23" s="17" t="str">
        <x:v>Y Combinator</x:v>
      </x:c>
      <x:c r="L23" s="17" t="str">
        <x:v>None known</x:v>
      </x:c>
    </x:row>
    <x:row r="24">
      <x:c r="A24" s="17" t="str">
        <x:v>Sapien</x:v>
      </x:c>
      <x:c r="B24" s="17" t="str">
        <x:v>Active</x:v>
      </x:c>
      <x:c r="C24" s="17" t="str">
        <x:v>Artificial Intelligence</x:v>
      </x:c>
      <x:c r="D24" s="17" t="str">
        <x:v>AI data labeling</x:v>
      </x:c>
      <x:c r="E24" s="17" t="str">
        <x:v>San Francisco, CA</x:v>
      </x:c>
      <x:c r="F24" s="17" t="str">
        <x:v>Yes</x:v>
      </x:c>
      <x:c r="G24" s="17" t="str">
        <x:v>At least $8.7M publicly announced; later 2026 round undisclosed</x:v>
      </x:c>
      <x:c r="H24" s="29" t="n">
        <x:v>8700000</x:v>
      </x:c>
      <x:c r="I24" s="17" t="n">
        <x:v>3</x:v>
      </x:c>
      <x:c r="J24" s="17" t="str">
        <x:v>Unknown</x:v>
      </x:c>
      <x:c r="K24" s="17" t="str">
        <x:v>General Catalyst; others</x:v>
      </x:c>
      <x:c r="L24" s="17" t="str">
        <x:v>None known</x:v>
      </x:c>
    </x:row>
    <x:row r="25">
      <x:c r="A25" s="17" t="str">
        <x:v>Skalara</x:v>
      </x:c>
      <x:c r="B25" s="17" t="str">
        <x:v>Active</x:v>
      </x:c>
      <x:c r="C25" s="17" t="str">
        <x:v>Artificial Intelligence</x:v>
      </x:c>
      <x:c r="D25" s="17" t="str">
        <x:v>Sales intelligence</x:v>
      </x:c>
      <x:c r="E25" s="17" t="str">
        <x:v>Unknown</x:v>
      </x:c>
      <x:c r="F25" s="17" t="str">
        <x:v>Unknown</x:v>
      </x:c>
      <x:c r="G25" s="17" t="str">
        <x:v>Unknown</x:v>
      </x:c>
      <x:c r="H25" s="29" t="n">
        <x:v>0</x:v>
      </x:c>
      <x:c r="I25" s="17" t="n">
        <x:v>1</x:v>
      </x:c>
      <x:c r="J25" s="17" t="str">
        <x:v>Unknown</x:v>
      </x:c>
      <x:c r="K25" s="17" t="str">
        <x:v>Unknown</x:v>
      </x:c>
      <x:c r="L25" s="17" t="str">
        <x:v>None known</x:v>
      </x:c>
    </x:row>
    <x:row r="26">
      <x:c r="A26" s="17" t="str">
        <x:v>Terac</x:v>
      </x:c>
      <x:c r="B26" s="17" t="str">
        <x:v>Active</x:v>
      </x:c>
      <x:c r="C26" s="17" t="str">
        <x:v>Artificial Intelligence</x:v>
      </x:c>
      <x:c r="D26" s="17" t="str">
        <x:v>Enterprise AI</x:v>
      </x:c>
      <x:c r="E26" s="17" t="str">
        <x:v>San Francisco, CA</x:v>
      </x:c>
      <x:c r="F26" s="17" t="str">
        <x:v>Yes</x:v>
      </x:c>
      <x:c r="G26" s="17" t="str">
        <x:v>Unknown</x:v>
      </x:c>
      <x:c r="H26" s="29" t="n">
        <x:v>0</x:v>
      </x:c>
      <x:c r="I26" s="17" t="n">
        <x:v>2</x:v>
      </x:c>
      <x:c r="J26" s="17" t="str">
        <x:v>Unknown</x:v>
      </x:c>
      <x:c r="K26" s="17" t="str">
        <x:v>Antigravity Capital</x:v>
      </x:c>
      <x:c r="L26" s="17" t="str">
        <x:v>None known</x:v>
      </x:c>
    </x:row>
    <x:row r="27">
      <x:c r="A27" s="17" t="str">
        <x:v>Generate Biomedicines</x:v>
      </x:c>
      <x:c r="B27" s="17" t="str">
        <x:v>Public</x:v>
      </x:c>
      <x:c r="C27" s="17" t="str">
        <x:v>Biotech</x:v>
      </x:c>
      <x:c r="D27" s="17" t="str">
        <x:v>Generative biology</x:v>
      </x:c>
      <x:c r="E27" s="17" t="str">
        <x:v>Somerville, MA</x:v>
      </x:c>
      <x:c r="F27" s="17" t="str">
        <x:v>Yes</x:v>
      </x:c>
      <x:c r="G27" s="17" t="str">
        <x:v>Unknown</x:v>
      </x:c>
      <x:c r="H27" s="29" t="n">
        <x:v>0</x:v>
      </x:c>
      <x:c r="I27" s="17" t="n">
        <x:v>1</x:v>
      </x:c>
      <x:c r="J27" s="17" t="str">
        <x:v>Flagship Pioneering</x:v>
      </x:c>
      <x:c r="K27" s="17" t="str">
        <x:v>Flagship Pioneering; others</x:v>
      </x:c>
      <x:c r="L27" s="17" t="str">
        <x:v>Initial public offering</x:v>
      </x:c>
    </x:row>
    <x:row r="28">
      <x:c r="A28" s="17" t="str">
        <x:v>Quotient Therapeutics</x:v>
      </x:c>
      <x:c r="B28" s="17" t="str">
        <x:v>Active</x:v>
      </x:c>
      <x:c r="C28" s="17" t="str">
        <x:v>Biotech</x:v>
      </x:c>
      <x:c r="D28" s="17" t="str">
        <x:v>Somatic genomics</x:v>
      </x:c>
      <x:c r="E28" s="17" t="str">
        <x:v>Cambridge, MA</x:v>
      </x:c>
      <x:c r="F28" s="17" t="str">
        <x:v>Yes</x:v>
      </x:c>
      <x:c r="G28" s="17" t="str">
        <x:v>Unknown</x:v>
      </x:c>
      <x:c r="H28" s="29" t="n">
        <x:v>0</x:v>
      </x:c>
      <x:c r="I28" s="17" t="n">
        <x:v>1</x:v>
      </x:c>
      <x:c r="J28" s="17" t="str">
        <x:v>Flagship Pioneering</x:v>
      </x:c>
      <x:c r="K28" s="17" t="str">
        <x:v>Flagship Pioneering; others</x:v>
      </x:c>
      <x:c r="L28" s="17" t="str">
        <x:v>None known</x:v>
      </x:c>
    </x:row>
    <x:row r="29">
      <x:c r="A29" s="17" t="str">
        <x:v>Sana Biotechnology</x:v>
      </x:c>
      <x:c r="B29" s="17" t="str">
        <x:v>Public</x:v>
      </x:c>
      <x:c r="C29" s="17" t="str">
        <x:v>Biotech</x:v>
      </x:c>
      <x:c r="D29" s="17" t="str">
        <x:v>Cell and gene therapy</x:v>
      </x:c>
      <x:c r="E29" s="17" t="str">
        <x:v>Seattle, WA</x:v>
      </x:c>
      <x:c r="F29" s="17" t="str">
        <x:v>Yes</x:v>
      </x:c>
      <x:c r="G29" s="17" t="str">
        <x:v>Unknown</x:v>
      </x:c>
      <x:c r="H29" s="29" t="n">
        <x:v>0</x:v>
      </x:c>
      <x:c r="I29" s="17" t="n">
        <x:v>1</x:v>
      </x:c>
      <x:c r="J29" s="17" t="str">
        <x:v>Unknown</x:v>
      </x:c>
      <x:c r="K29" s="17" t="str">
        <x:v>Flagship Pioneering; others</x:v>
      </x:c>
      <x:c r="L29" s="17" t="str">
        <x:v>Initial public offering</x:v>
      </x:c>
    </x:row>
    <x:row r="30">
      <x:c r="A30" s="17" t="str">
        <x:v>Seres Therapeutics</x:v>
      </x:c>
      <x:c r="B30" s="17" t="str">
        <x:v>Public</x:v>
      </x:c>
      <x:c r="C30" s="17" t="str">
        <x:v>Biotech</x:v>
      </x:c>
      <x:c r="D30" s="17" t="str">
        <x:v>Microbiome therapeutics</x:v>
      </x:c>
      <x:c r="E30" s="17" t="str">
        <x:v>Cambridge, MA</x:v>
      </x:c>
      <x:c r="F30" s="17" t="str">
        <x:v>Yes</x:v>
      </x:c>
      <x:c r="G30" s="17" t="str">
        <x:v>Unknown</x:v>
      </x:c>
      <x:c r="H30" s="29" t="n">
        <x:v>0</x:v>
      </x:c>
      <x:c r="I30" s="17" t="n">
        <x:v>1</x:v>
      </x:c>
      <x:c r="J30" s="17" t="str">
        <x:v>Flagship Pioneering</x:v>
      </x:c>
      <x:c r="K30" s="17" t="str">
        <x:v>Flagship Pioneering; others</x:v>
      </x:c>
      <x:c r="L30" s="17" t="str">
        <x:v>Initial public offering</x:v>
      </x:c>
    </x:row>
    <x:row r="31">
      <x:c r="A31" s="17" t="str">
        <x:v>Tessera Therapeutics</x:v>
      </x:c>
      <x:c r="B31" s="17" t="str">
        <x:v>Active</x:v>
      </x:c>
      <x:c r="C31" s="17" t="str">
        <x:v>Biotech</x:v>
      </x:c>
      <x:c r="D31" s="17" t="str">
        <x:v>Gene writing</x:v>
      </x:c>
      <x:c r="E31" s="17" t="str">
        <x:v>Somerville, MA</x:v>
      </x:c>
      <x:c r="F31" s="17" t="str">
        <x:v>Yes</x:v>
      </x:c>
      <x:c r="G31" s="17" t="str">
        <x:v>Unknown</x:v>
      </x:c>
      <x:c r="H31" s="29" t="n">
        <x:v>0</x:v>
      </x:c>
      <x:c r="I31" s="17" t="n">
        <x:v>1</x:v>
      </x:c>
      <x:c r="J31" s="17" t="str">
        <x:v>Flagship Pioneering</x:v>
      </x:c>
      <x:c r="K31" s="17" t="str">
        <x:v>Flagship Pioneering; others</x:v>
      </x:c>
      <x:c r="L31" s="17" t="str">
        <x:v>None known</x:v>
      </x:c>
    </x:row>
    <x:row r="32">
      <x:c r="A32" s="17" t="str">
        <x:v>Map-Collective</x:v>
      </x:c>
      <x:c r="B32" s="17" t="str">
        <x:v>Active</x:v>
      </x:c>
      <x:c r="C32" s="17" t="str">
        <x:v>Climate</x:v>
      </x:c>
      <x:c r="D32" s="17" t="str">
        <x:v>Supply-chain sustainability</x:v>
      </x:c>
      <x:c r="E32" s="17" t="str">
        <x:v>Providence, RI</x:v>
      </x:c>
      <x:c r="F32" s="17" t="str">
        <x:v>Yes</x:v>
      </x:c>
      <x:c r="G32" s="17" t="str">
        <x:v>Unknown</x:v>
      </x:c>
      <x:c r="H32" s="29" t="n">
        <x:v>0</x:v>
      </x:c>
      <x:c r="I32" s="17" t="n">
        <x:v>1</x:v>
      </x:c>
      <x:c r="J32" s="17" t="str">
        <x:v>Unknown</x:v>
      </x:c>
      <x:c r="K32" s="17" t="str">
        <x:v>National Science Foundation; others</x:v>
      </x:c>
      <x:c r="L32" s="17" t="str">
        <x:v>None known</x:v>
      </x:c>
    </x:row>
    <x:row r="33">
      <x:c r="A33" s="17" t="str">
        <x:v>The Perennial</x:v>
      </x:c>
      <x:c r="B33" s="17" t="str">
        <x:v>Closed</x:v>
      </x:c>
      <x:c r="C33" s="17" t="str">
        <x:v>Climate</x:v>
      </x:c>
      <x:c r="D33" s="17" t="str">
        <x:v>Sustainable restaurant</x:v>
      </x:c>
      <x:c r="E33" s="17" t="str">
        <x:v>San Francisco, CA</x:v>
      </x:c>
      <x:c r="F33" s="17" t="str">
        <x:v>Bootstrapped</x:v>
      </x:c>
      <x:c r="G33" s="17" t="str">
        <x:v>Unknown</x:v>
      </x:c>
      <x:c r="H33" s="29" t="n">
        <x:v>0</x:v>
      </x:c>
      <x:c r="I33" s="17" t="n">
        <x:v>1</x:v>
      </x:c>
      <x:c r="J33" s="17" t="str">
        <x:v>None</x:v>
      </x:c>
      <x:c r="K33" s="17" t="str">
        <x:v>Unknown</x:v>
      </x:c>
      <x:c r="L33" s="17" t="str">
        <x:v>Closed</x:v>
      </x:c>
    </x:row>
    <x:row r="34">
      <x:c r="A34" s="17" t="str">
        <x:v>Third Derivative</x:v>
      </x:c>
      <x:c r="B34" s="17" t="str">
        <x:v>Active</x:v>
      </x:c>
      <x:c r="C34" s="17" t="str">
        <x:v>Climate</x:v>
      </x:c>
      <x:c r="D34" s="17" t="str">
        <x:v>Climate-tech accelerator</x:v>
      </x:c>
      <x:c r="E34" s="17" t="str">
        <x:v>Boulder, CO</x:v>
      </x:c>
      <x:c r="F34" s="17" t="str">
        <x:v>No</x:v>
      </x:c>
      <x:c r="G34" s="17" t="str">
        <x:v>Unknown</x:v>
      </x:c>
      <x:c r="H34" s="29" t="n">
        <x:v>0</x:v>
      </x:c>
      <x:c r="I34" s="17" t="n">
        <x:v>1</x:v>
      </x:c>
      <x:c r="J34" s="17" t="str">
        <x:v>Unknown</x:v>
      </x:c>
      <x:c r="K34" s="17" t="str">
        <x:v>RMI; New Energy Nexus; others</x:v>
      </x:c>
      <x:c r="L34" s="17" t="str">
        <x:v>None known</x:v>
      </x:c>
    </x:row>
    <x:row r="35">
      <x:c r="A35" s="17" t="str">
        <x:v>Anamakos</x:v>
      </x:c>
      <x:c r="B35" s="17" t="str">
        <x:v>Dormant</x:v>
      </x:c>
      <x:c r="C35" s="17" t="str">
        <x:v>Consumer</x:v>
      </x:c>
      <x:c r="D35" s="17" t="str">
        <x:v>Design studio</x:v>
      </x:c>
      <x:c r="E35" s="17" t="str">
        <x:v>Unknown</x:v>
      </x:c>
      <x:c r="F35" s="17" t="str">
        <x:v>Bootstrapped</x:v>
      </x:c>
      <x:c r="G35" s="17" t="str">
        <x:v>Unknown</x:v>
      </x:c>
      <x:c r="H35" s="29" t="n">
        <x:v>0</x:v>
      </x:c>
      <x:c r="I35" s="17" t="n">
        <x:v>1</x:v>
      </x:c>
      <x:c r="J35" s="17" t="str">
        <x:v>None</x:v>
      </x:c>
      <x:c r="K35" s="17" t="str">
        <x:v>Unknown</x:v>
      </x:c>
      <x:c r="L35" s="17" t="str">
        <x:v>Dormant / status unclear</x:v>
      </x:c>
    </x:row>
    <x:row r="36">
      <x:c r="A36" s="17" t="str">
        <x:v>Brooklyn Royalty</x:v>
      </x:c>
      <x:c r="B36" s="17" t="str">
        <x:v>Dormant</x:v>
      </x:c>
      <x:c r="C36" s="17" t="str">
        <x:v>Consumer</x:v>
      </x:c>
      <x:c r="D36" s="17" t="str">
        <x:v>Fashion label</x:v>
      </x:c>
      <x:c r="E36" s="17" t="str">
        <x:v>Brooklyn, NY</x:v>
      </x:c>
      <x:c r="F36" s="17" t="str">
        <x:v>Bootstrapped</x:v>
      </x:c>
      <x:c r="G36" s="17" t="str">
        <x:v>Unknown</x:v>
      </x:c>
      <x:c r="H36" s="29" t="n">
        <x:v>0</x:v>
      </x:c>
      <x:c r="I36" s="17" t="n">
        <x:v>1</x:v>
      </x:c>
      <x:c r="J36" s="17" t="str">
        <x:v>None</x:v>
      </x:c>
      <x:c r="K36" s="17" t="str">
        <x:v>Unknown</x:v>
      </x:c>
      <x:c r="L36" s="17" t="str">
        <x:v>Dormant / status unclear</x:v>
      </x:c>
    </x:row>
    <x:row r="37">
      <x:c r="A37" s="17" t="str">
        <x:v>flyingchickens.com</x:v>
      </x:c>
      <x:c r="B37" s="17" t="str">
        <x:v>Closed</x:v>
      </x:c>
      <x:c r="C37" s="17" t="str">
        <x:v>Consumer</x:v>
      </x:c>
      <x:c r="D37" s="17" t="str">
        <x:v>College community</x:v>
      </x:c>
      <x:c r="E37" s="17" t="str">
        <x:v>Unknown</x:v>
      </x:c>
      <x:c r="F37" s="17" t="str">
        <x:v>Bootstrapped</x:v>
      </x:c>
      <x:c r="G37" s="17" t="str">
        <x:v>Unknown</x:v>
      </x:c>
      <x:c r="H37" s="29" t="n">
        <x:v>0</x:v>
      </x:c>
      <x:c r="I37" s="17" t="n">
        <x:v>1</x:v>
      </x:c>
      <x:c r="J37" s="17" t="str">
        <x:v>None</x:v>
      </x:c>
      <x:c r="K37" s="17" t="str">
        <x:v>Unknown</x:v>
      </x:c>
      <x:c r="L37" s="17" t="str">
        <x:v>Closed</x:v>
      </x:c>
    </x:row>
    <x:row r="38">
      <x:c r="A38" s="17" t="str">
        <x:v>Jumpstart Technologies</x:v>
      </x:c>
      <x:c r="B38" s="17" t="str">
        <x:v>Acquired</x:v>
      </x:c>
      <x:c r="C38" s="17" t="str">
        <x:v>Consumer</x:v>
      </x:c>
      <x:c r="D38" s="17" t="str">
        <x:v>Online promotions</x:v>
      </x:c>
      <x:c r="E38" s="17" t="str">
        <x:v>San Francisco, CA</x:v>
      </x:c>
      <x:c r="F38" s="17" t="str">
        <x:v>Yes</x:v>
      </x:c>
      <x:c r="G38" s="17" t="str">
        <x:v>Unknown</x:v>
      </x:c>
      <x:c r="H38" s="29" t="n">
        <x:v>0</x:v>
      </x:c>
      <x:c r="I38" s="17" t="n">
        <x:v>1</x:v>
      </x:c>
      <x:c r="J38" s="17" t="str">
        <x:v>None</x:v>
      </x:c>
      <x:c r="K38" s="17" t="str">
        <x:v>Unknown</x:v>
      </x:c>
      <x:c r="L38" s="17" t="str">
        <x:v>Acquired</x:v>
      </x:c>
    </x:row>
    <x:row r="39">
      <x:c r="A39" s="17" t="str">
        <x:v>JustATip</x:v>
      </x:c>
      <x:c r="B39" s="17" t="str">
        <x:v>Closed</x:v>
      </x:c>
      <x:c r="C39" s="17" t="str">
        <x:v>Consumer</x:v>
      </x:c>
      <x:c r="D39" s="17" t="str">
        <x:v>Internet tipping service</x:v>
      </x:c>
      <x:c r="E39" s="17" t="str">
        <x:v>Blacksburg, VA</x:v>
      </x:c>
      <x:c r="F39" s="17" t="str">
        <x:v>Bootstrapped</x:v>
      </x:c>
      <x:c r="G39" s="17" t="str">
        <x:v>Unknown</x:v>
      </x:c>
      <x:c r="H39" s="29" t="n">
        <x:v>0</x:v>
      </x:c>
      <x:c r="I39" s="17" t="n">
        <x:v>3</x:v>
      </x:c>
      <x:c r="J39" s="17" t="str">
        <x:v>None</x:v>
      </x:c>
      <x:c r="K39" s="17" t="str">
        <x:v>Unknown</x:v>
      </x:c>
      <x:c r="L39" s="17" t="str">
        <x:v>Closed</x:v>
      </x:c>
    </x:row>
    <x:row r="40">
      <x:c r="A40" s="17" t="str">
        <x:v>Phia</x:v>
      </x:c>
      <x:c r="B40" s="17" t="str">
        <x:v>Active</x:v>
      </x:c>
      <x:c r="C40" s="17" t="str">
        <x:v>Consumer</x:v>
      </x:c>
      <x:c r="D40" s="17" t="str">
        <x:v>AI shopping assistant</x:v>
      </x:c>
      <x:c r="E40" s="17" t="str">
        <x:v>New York, NY</x:v>
      </x:c>
      <x:c r="F40" s="17" t="str">
        <x:v>Yes</x:v>
      </x:c>
      <x:c r="G40" s="17" t="str">
        <x:v>More than $43M publicly announced</x:v>
      </x:c>
      <x:c r="H40" s="29" t="n">
        <x:v>43000000</x:v>
      </x:c>
      <x:c r="I40" s="17" t="n">
        <x:v>1</x:v>
      </x:c>
      <x:c r="J40" s="17" t="str">
        <x:v>Unknown</x:v>
      </x:c>
      <x:c r="K40" s="17" t="str">
        <x:v>Notable Capital; Khosla Ventures; Kleiner Perkins; others</x:v>
      </x:c>
      <x:c r="L40" s="17" t="str">
        <x:v>None known</x:v>
      </x:c>
    </x:row>
    <x:row r="41">
      <x:c r="A41" s="17" t="str">
        <x:v>Rome</x:v>
      </x:c>
      <x:c r="B41" s="17" t="str">
        <x:v>Active</x:v>
      </x:c>
      <x:c r="C41" s="17" t="str">
        <x:v>Consumer</x:v>
      </x:c>
      <x:c r="D41" s="17" t="str">
        <x:v>Travel technology</x:v>
      </x:c>
      <x:c r="E41" s="17" t="str">
        <x:v>New York, NY</x:v>
      </x:c>
      <x:c r="F41" s="17" t="str">
        <x:v>Unknown</x:v>
      </x:c>
      <x:c r="G41" s="17" t="str">
        <x:v>Unknown</x:v>
      </x:c>
      <x:c r="H41" s="29" t="n">
        <x:v>0</x:v>
      </x:c>
      <x:c r="I41" s="17" t="n">
        <x:v>1</x:v>
      </x:c>
      <x:c r="J41" s="17" t="str">
        <x:v>Unknown</x:v>
      </x:c>
      <x:c r="K41" s="17" t="str">
        <x:v>Unknown</x:v>
      </x:c>
      <x:c r="L41" s="17" t="str">
        <x:v>None known</x:v>
      </x:c>
    </x:row>
    <x:row r="42">
      <x:c r="A42" s="17" t="str">
        <x:v>Tailed</x:v>
      </x:c>
      <x:c r="B42" s="17" t="str">
        <x:v>Acquired</x:v>
      </x:c>
      <x:c r="C42" s="17" t="str">
        <x:v>Consumer</x:v>
      </x:c>
      <x:c r="D42" s="17" t="str">
        <x:v>Social discovery</x:v>
      </x:c>
      <x:c r="E42" s="17" t="str">
        <x:v>Unknown</x:v>
      </x:c>
      <x:c r="F42" s="17" t="str">
        <x:v>Yes</x:v>
      </x:c>
      <x:c r="G42" s="17" t="str">
        <x:v>Unknown</x:v>
      </x:c>
      <x:c r="H42" s="29" t="n">
        <x:v>0</x:v>
      </x:c>
      <x:c r="I42" s="17" t="n">
        <x:v>1</x:v>
      </x:c>
      <x:c r="J42" s="17" t="str">
        <x:v>Unknown</x:v>
      </x:c>
      <x:c r="K42" s="17" t="str">
        <x:v>Unknown</x:v>
      </x:c>
      <x:c r="L42" s="17" t="str">
        <x:v>Acquired; terms undisclosed</x:v>
      </x:c>
    </x:row>
    <x:row r="43">
      <x:c r="A43" s="17" t="str">
        <x:v>Confide</x:v>
      </x:c>
      <x:c r="B43" s="17" t="str">
        <x:v>Acquired</x:v>
      </x:c>
      <x:c r="C43" s="17" t="str">
        <x:v>Cybersecurity</x:v>
      </x:c>
      <x:c r="D43" s="17" t="str">
        <x:v>Encrypted messaging</x:v>
      </x:c>
      <x:c r="E43" s="17" t="str">
        <x:v>New York, NY</x:v>
      </x:c>
      <x:c r="F43" s="17" t="str">
        <x:v>Yes</x:v>
      </x:c>
      <x:c r="G43" s="17" t="str">
        <x:v>Unknown</x:v>
      </x:c>
      <x:c r="H43" s="29" t="n">
        <x:v>0</x:v>
      </x:c>
      <x:c r="I43" s="17" t="n">
        <x:v>1</x:v>
      </x:c>
      <x:c r="J43" s="17" t="str">
        <x:v>None</x:v>
      </x:c>
      <x:c r="K43" s="17" t="str">
        <x:v>GV; First Round Capital; WGI Group; others</x:v>
      </x:c>
      <x:c r="L43" s="17" t="str">
        <x:v>Acquired</x:v>
      </x:c>
    </x:row>
    <x:row r="44">
      <x:c r="A44" s="17" t="str">
        <x:v>FoundationDB</x:v>
      </x:c>
      <x:c r="B44" s="17" t="str">
        <x:v>Acquired</x:v>
      </x:c>
      <x:c r="C44" s="17" t="str">
        <x:v>Data Infrastructure</x:v>
      </x:c>
      <x:c r="D44" s="17" t="str">
        <x:v>Distributed database</x:v>
      </x:c>
      <x:c r="E44" s="17" t="str">
        <x:v>Vienna, VA</x:v>
      </x:c>
      <x:c r="F44" s="17" t="str">
        <x:v>Yes</x:v>
      </x:c>
      <x:c r="G44" s="17" t="str">
        <x:v>Approximately $22.7M publicly reported</x:v>
      </x:c>
      <x:c r="H44" s="29" t="n">
        <x:v>22700000</x:v>
      </x:c>
      <x:c r="I44" s="17" t="n">
        <x:v>2</x:v>
      </x:c>
      <x:c r="J44" s="17" t="str">
        <x:v>Unknown</x:v>
      </x:c>
      <x:c r="K44" s="17" t="str">
        <x:v>Sutter Hill Ventures; CrunchFund; others</x:v>
      </x:c>
      <x:c r="L44" s="17" t="str">
        <x:v>Acquired</x:v>
      </x:c>
    </x:row>
    <x:row r="45">
      <x:c r="A45" s="17" t="str">
        <x:v>Visual Sciences</x:v>
      </x:c>
      <x:c r="B45" s="17" t="str">
        <x:v>Acquired</x:v>
      </x:c>
      <x:c r="C45" s="17" t="str">
        <x:v>Data Infrastructure</x:v>
      </x:c>
      <x:c r="D45" s="17" t="str">
        <x:v>Web analytics</x:v>
      </x:c>
      <x:c r="E45" s="17" t="str">
        <x:v>San Diego, CA</x:v>
      </x:c>
      <x:c r="F45" s="17" t="str">
        <x:v>Yes</x:v>
      </x:c>
      <x:c r="G45" s="17" t="str">
        <x:v>Unknown</x:v>
      </x:c>
      <x:c r="H45" s="29" t="n">
        <x:v>0</x:v>
      </x:c>
      <x:c r="I45" s="17" t="n">
        <x:v>1</x:v>
      </x:c>
      <x:c r="J45" s="17" t="str">
        <x:v>None</x:v>
      </x:c>
      <x:c r="K45" s="17" t="str">
        <x:v>Unknown</x:v>
      </x:c>
      <x:c r="L45" s="17" t="str">
        <x:v>Acquired</x:v>
      </x:c>
    </x:row>
    <x:row r="46">
      <x:c r="A46" s="17" t="str">
        <x:v>Nexa Labs</x:v>
      </x:c>
      <x:c r="B46" s="17" t="str">
        <x:v>Acquired</x:v>
      </x:c>
      <x:c r="C46" s="17" t="str">
        <x:v>Developer Tools</x:v>
      </x:c>
      <x:c r="D46" s="17" t="str">
        <x:v>AI agent tooling</x:v>
      </x:c>
      <x:c r="E46" s="17" t="str">
        <x:v>San Francisco, CA</x:v>
      </x:c>
      <x:c r="F46" s="17" t="str">
        <x:v>Yes</x:v>
      </x:c>
      <x:c r="G46" s="17" t="str">
        <x:v>Unknown</x:v>
      </x:c>
      <x:c r="H46" s="29" t="n">
        <x:v>0</x:v>
      </x:c>
      <x:c r="I46" s="17" t="n">
        <x:v>1</x:v>
      </x:c>
      <x:c r="J46" s="17" t="str">
        <x:v>Y Combinator S25</x:v>
      </x:c>
      <x:c r="K46" s="17" t="str">
        <x:v>Y Combinator</x:v>
      </x:c>
      <x:c r="L46" s="17" t="str">
        <x:v>Acquired; terms undisclosed</x:v>
      </x:c>
    </x:row>
    <x:row r="47">
      <x:c r="A47" s="17" t="str">
        <x:v>Knot Standard</x:v>
      </x:c>
      <x:c r="B47" s="17" t="str">
        <x:v>Active</x:v>
      </x:c>
      <x:c r="C47" s="17" t="str">
        <x:v>E-commerce</x:v>
      </x:c>
      <x:c r="D47" s="17" t="str">
        <x:v>Custom menswear</x:v>
      </x:c>
      <x:c r="E47" s="17" t="str">
        <x:v>New York, NY</x:v>
      </x:c>
      <x:c r="F47" s="17" t="str">
        <x:v>Yes</x:v>
      </x:c>
      <x:c r="G47" s="17" t="str">
        <x:v>Unknown</x:v>
      </x:c>
      <x:c r="H47" s="29" t="n">
        <x:v>0</x:v>
      </x:c>
      <x:c r="I47" s="17" t="n">
        <x:v>1</x:v>
      </x:c>
      <x:c r="J47" s="17" t="str">
        <x:v>Unknown</x:v>
      </x:c>
      <x:c r="K47" s="17" t="str">
        <x:v>Unknown</x:v>
      </x:c>
      <x:c r="L47" s="17" t="str">
        <x:v>None known</x:v>
      </x:c>
    </x:row>
    <x:row r="48">
      <x:c r="A48" s="17" t="str">
        <x:v>Ticket Monster</x:v>
      </x:c>
      <x:c r="B48" s="17" t="str">
        <x:v>Acquired</x:v>
      </x:c>
      <x:c r="C48" s="17" t="str">
        <x:v>E-commerce</x:v>
      </x:c>
      <x:c r="D48" s="17" t="str">
        <x:v>Daily deals</x:v>
      </x:c>
      <x:c r="E48" s="17" t="str">
        <x:v>Seoul, South Korea</x:v>
      </x:c>
      <x:c r="F48" s="17" t="str">
        <x:v>Yes</x:v>
      </x:c>
      <x:c r="G48" s="17" t="str">
        <x:v>At least $115M publicly announced</x:v>
      </x:c>
      <x:c r="H48" s="29" t="n">
        <x:v>115000000</x:v>
      </x:c>
      <x:c r="I48" s="17" t="n">
        <x:v>1</x:v>
      </x:c>
      <x:c r="J48" s="17" t="str">
        <x:v>Unknown</x:v>
      </x:c>
      <x:c r="K48" s="17" t="str">
        <x:v>Kohlberg Kravis Roberts; Canada Pension Plan Investment Board; others</x:v>
      </x:c>
      <x:c r="L48" s="17" t="str">
        <x:v>Acquired for a reported $260M</x:v>
      </x:c>
    </x:row>
    <x:row r="49">
      <x:c r="A49" s="17" t="str">
        <x:v>Tilt Desserts</x:v>
      </x:c>
      <x:c r="B49" s="17" t="str">
        <x:v>Active</x:v>
      </x:c>
      <x:c r="C49" s="17" t="str">
        <x:v>E-commerce</x:v>
      </x:c>
      <x:c r="D49" s="17" t="str">
        <x:v>Food and desserts</x:v>
      </x:c>
      <x:c r="E49" s="17" t="str">
        <x:v>Northern Virginia</x:v>
      </x:c>
      <x:c r="F49" s="17" t="str">
        <x:v>Bootstrapped</x:v>
      </x:c>
      <x:c r="G49" s="17" t="str">
        <x:v>Unknown</x:v>
      </x:c>
      <x:c r="H49" s="29" t="n">
        <x:v>0</x:v>
      </x:c>
      <x:c r="I49" s="17" t="n">
        <x:v>1</x:v>
      </x:c>
      <x:c r="J49" s="17" t="str">
        <x:v>None</x:v>
      </x:c>
      <x:c r="K49" s="17" t="str">
        <x:v>Unknown</x:v>
      </x:c>
      <x:c r="L49" s="17" t="str">
        <x:v>None known</x:v>
      </x:c>
    </x:row>
    <x:row r="50">
      <x:c r="A50" s="17" t="str">
        <x:v>ePub Bud</x:v>
      </x:c>
      <x:c r="B50" s="17" t="str">
        <x:v>Dormant</x:v>
      </x:c>
      <x:c r="C50" s="17" t="str">
        <x:v>Education</x:v>
      </x:c>
      <x:c r="D50" s="17" t="str">
        <x:v>Digital publishing</x:v>
      </x:c>
      <x:c r="E50" s="17" t="str">
        <x:v>Unknown</x:v>
      </x:c>
      <x:c r="F50" s="17" t="str">
        <x:v>Bootstrapped</x:v>
      </x:c>
      <x:c r="G50" s="17" t="str">
        <x:v>Unknown</x:v>
      </x:c>
      <x:c r="H50" s="29" t="n">
        <x:v>0</x:v>
      </x:c>
      <x:c r="I50" s="17" t="n">
        <x:v>1</x:v>
      </x:c>
      <x:c r="J50" s="17" t="str">
        <x:v>None</x:v>
      </x:c>
      <x:c r="K50" s="17" t="str">
        <x:v>Unknown</x:v>
      </x:c>
      <x:c r="L50" s="17" t="str">
        <x:v>Dormant</x:v>
      </x:c>
    </x:row>
    <x:row r="51">
      <x:c r="A51" s="17" t="str">
        <x:v>Hallway</x:v>
      </x:c>
      <x:c r="B51" s="17" t="str">
        <x:v>Closed</x:v>
      </x:c>
      <x:c r="C51" s="17" t="str">
        <x:v>Education</x:v>
      </x:c>
      <x:c r="D51" s="17" t="str">
        <x:v>School communications</x:v>
      </x:c>
      <x:c r="E51" s="17" t="str">
        <x:v>Alexandria, VA</x:v>
      </x:c>
      <x:c r="F51" s="17" t="str">
        <x:v>Yes</x:v>
      </x:c>
      <x:c r="G51" s="17" t="str">
        <x:v>Tens of thousands of dollars reported</x:v>
      </x:c>
      <x:c r="H51" s="29" t="n">
        <x:v>0</x:v>
      </x:c>
      <x:c r="I51" s="17" t="n">
        <x:v>2</x:v>
      </x:c>
      <x:c r="J51" s="17" t="str">
        <x:v>Unknown</x:v>
      </x:c>
      <x:c r="K51" s="17" t="str">
        <x:v>Individual angel investors</x:v>
      </x:c>
      <x:c r="L51" s="17" t="str">
        <x:v>Closed</x:v>
      </x:c>
    </x:row>
    <x:row r="52">
      <x:c r="A52" s="17" t="str">
        <x:v>PeerKonnect</x:v>
      </x:c>
      <x:c r="B52" s="17" t="str">
        <x:v>Dormant</x:v>
      </x:c>
      <x:c r="C52" s="17" t="str">
        <x:v>Education</x:v>
      </x:c>
      <x:c r="D52" s="17" t="str">
        <x:v>Peer tutoring</x:v>
      </x:c>
      <x:c r="E52" s="17" t="str">
        <x:v>Fairfax, VA</x:v>
      </x:c>
      <x:c r="F52" s="17" t="str">
        <x:v>No</x:v>
      </x:c>
      <x:c r="G52" s="17" t="str">
        <x:v>Unknown</x:v>
      </x:c>
      <x:c r="H52" s="29" t="n">
        <x:v>0</x:v>
      </x:c>
      <x:c r="I52" s="17" t="n">
        <x:v>1</x:v>
      </x:c>
      <x:c r="J52" s="17" t="str">
        <x:v>Unknown</x:v>
      </x:c>
      <x:c r="K52" s="17" t="str">
        <x:v>Unknown</x:v>
      </x:c>
      <x:c r="L52" s="17" t="str">
        <x:v>Dormant</x:v>
      </x:c>
    </x:row>
    <x:row r="53">
      <x:c r="A53" s="17" t="str">
        <x:v>DreamHost</x:v>
      </x:c>
      <x:c r="B53" s="17" t="str">
        <x:v>Active</x:v>
      </x:c>
      <x:c r="C53" s="17" t="str">
        <x:v>Enterprise Software</x:v>
      </x:c>
      <x:c r="D53" s="17" t="str">
        <x:v>Web hosting</x:v>
      </x:c>
      <x:c r="E53" s="17" t="str">
        <x:v>Brea, CA</x:v>
      </x:c>
      <x:c r="F53" s="17" t="str">
        <x:v>Bootstrapped</x:v>
      </x:c>
      <x:c r="G53" s="17" t="str">
        <x:v>Bootstrapped / undisclosed</x:v>
      </x:c>
      <x:c r="H53" s="29" t="n">
        <x:v>0</x:v>
      </x:c>
      <x:c r="I53" s="17" t="n">
        <x:v>1</x:v>
      </x:c>
      <x:c r="J53" s="17" t="str">
        <x:v>None</x:v>
      </x:c>
      <x:c r="K53" s="17" t="str">
        <x:v>Unknown</x:v>
      </x:c>
      <x:c r="L53" s="17" t="str">
        <x:v>None known</x:v>
      </x:c>
    </x:row>
    <x:row r="54">
      <x:c r="A54" s="17" t="str">
        <x:v>Gather</x:v>
      </x:c>
      <x:c r="B54" s="17" t="str">
        <x:v>Acquired</x:v>
      </x:c>
      <x:c r="C54" s="17" t="str">
        <x:v>Enterprise Software</x:v>
      </x:c>
      <x:c r="D54" s="17" t="str">
        <x:v>Virtual collaboration</x:v>
      </x:c>
      <x:c r="E54" s="17" t="str">
        <x:v>San Francisco, CA</x:v>
      </x:c>
      <x:c r="F54" s="17" t="str">
        <x:v>Yes</x:v>
      </x:c>
      <x:c r="G54" s="17" t="str">
        <x:v>Unknown</x:v>
      </x:c>
      <x:c r="H54" s="29" t="n">
        <x:v>0</x:v>
      </x:c>
      <x:c r="I54" s="17" t="n">
        <x:v>1</x:v>
      </x:c>
      <x:c r="J54" s="17" t="str">
        <x:v>Y Combinator W18</x:v>
      </x:c>
      <x:c r="K54" s="17" t="str">
        <x:v>Sequoia Capital; Index Ventures; YC Continuity</x:v>
      </x:c>
      <x:c r="L54" s="17" t="str">
        <x:v>Acquired; terms undisclosed</x:v>
      </x:c>
    </x:row>
    <x:row r="55">
      <x:c r="A55" s="17" t="str">
        <x:v>Intwine</x:v>
      </x:c>
      <x:c r="B55" s="17" t="str">
        <x:v>Closed</x:v>
      </x:c>
      <x:c r="C55" s="17" t="str">
        <x:v>Enterprise Software</x:v>
      </x:c>
      <x:c r="D55" s="17" t="str">
        <x:v>Web services</x:v>
      </x:c>
      <x:c r="E55" s="17" t="str">
        <x:v>Virginia</x:v>
      </x:c>
      <x:c r="F55" s="17" t="str">
        <x:v>Unknown</x:v>
      </x:c>
      <x:c r="G55" s="17" t="str">
        <x:v>Unknown</x:v>
      </x:c>
      <x:c r="H55" s="29" t="n">
        <x:v>0</x:v>
      </x:c>
      <x:c r="I55" s="17" t="n">
        <x:v>3</x:v>
      </x:c>
      <x:c r="J55" s="17" t="str">
        <x:v>None</x:v>
      </x:c>
      <x:c r="K55" s="17" t="str">
        <x:v>Unknown</x:v>
      </x:c>
      <x:c r="L55" s="17" t="str">
        <x:v>Closed</x:v>
      </x:c>
    </x:row>
    <x:row r="56">
      <x:c r="A56" s="17" t="str">
        <x:v>Ksplice</x:v>
      </x:c>
      <x:c r="B56" s="17" t="str">
        <x:v>Acquired</x:v>
      </x:c>
      <x:c r="C56" s="17" t="str">
        <x:v>Enterprise Software</x:v>
      </x:c>
      <x:c r="D56" s="17" t="str">
        <x:v>Linux infrastructure</x:v>
      </x:c>
      <x:c r="E56" s="17" t="str">
        <x:v>Cambridge, MA</x:v>
      </x:c>
      <x:c r="F56" s="17" t="str">
        <x:v>Yes</x:v>
      </x:c>
      <x:c r="G56" s="17" t="str">
        <x:v>Unknown</x:v>
      </x:c>
      <x:c r="H56" s="29" t="n">
        <x:v>0</x:v>
      </x:c>
      <x:c r="I56" s="17" t="n">
        <x:v>3</x:v>
      </x:c>
      <x:c r="J56" s="17" t="str">
        <x:v>None</x:v>
      </x:c>
      <x:c r="K56" s="17" t="str">
        <x:v>Polaris Venture Partners; True Ventures</x:v>
      </x:c>
      <x:c r="L56" s="17" t="str">
        <x:v>Acquired</x:v>
      </x:c>
    </x:row>
    <x:row r="57">
      <x:c r="A57" s="17" t="str">
        <x:v>Roam</x:v>
      </x:c>
      <x:c r="B57" s="17" t="str">
        <x:v>Active</x:v>
      </x:c>
      <x:c r="C57" s="17" t="str">
        <x:v>Enterprise Software</x:v>
      </x:c>
      <x:c r="D57" s="17" t="str">
        <x:v>Cloud communications</x:v>
      </x:c>
      <x:c r="E57" s="17" t="str">
        <x:v>New York, NY</x:v>
      </x:c>
      <x:c r="F57" s="17" t="str">
        <x:v>Yes</x:v>
      </x:c>
      <x:c r="G57" s="17" t="str">
        <x:v>At least $40M publicly announced</x:v>
      </x:c>
      <x:c r="H57" s="29" t="n">
        <x:v>40000000</x:v>
      </x:c>
      <x:c r="I57" s="17" t="n">
        <x:v>4</x:v>
      </x:c>
      <x:c r="J57" s="17" t="str">
        <x:v>Unknown</x:v>
      </x:c>
      <x:c r="K57" s="17" t="str">
        <x:v>Founders Fund; others</x:v>
      </x:c>
      <x:c r="L57" s="17" t="str">
        <x:v>None known</x:v>
      </x:c>
    </x:row>
    <x:row r="58">
      <x:c r="A58" s="17" t="str">
        <x:v>Synteractive</x:v>
      </x:c>
      <x:c r="B58" s="17" t="str">
        <x:v>Acquired</x:v>
      </x:c>
      <x:c r="C58" s="17" t="str">
        <x:v>Enterprise Software</x:v>
      </x:c>
      <x:c r="D58" s="17" t="str">
        <x:v>Digital government consulting</x:v>
      </x:c>
      <x:c r="E58" s="17" t="str">
        <x:v>Washington, DC</x:v>
      </x:c>
      <x:c r="F58" s="17" t="str">
        <x:v>Unknown</x:v>
      </x:c>
      <x:c r="G58" s="17" t="str">
        <x:v>Unknown</x:v>
      </x:c>
      <x:c r="H58" s="29" t="n">
        <x:v>0</x:v>
      </x:c>
      <x:c r="I58" s="17" t="n">
        <x:v>1</x:v>
      </x:c>
      <x:c r="J58" s="17" t="str">
        <x:v>None</x:v>
      </x:c>
      <x:c r="K58" s="17" t="str">
        <x:v>Unknown</x:v>
      </x:c>
      <x:c r="L58" s="17" t="str">
        <x:v>Acquired</x:v>
      </x:c>
    </x:row>
    <x:row r="59">
      <x:c r="A59" s="17" t="str">
        <x:v>Yext</x:v>
      </x:c>
      <x:c r="B59" s="17" t="str">
        <x:v>Public</x:v>
      </x:c>
      <x:c r="C59" s="17" t="str">
        <x:v>Enterprise Software</x:v>
      </x:c>
      <x:c r="D59" s="17" t="str">
        <x:v>Digital presence and search</x:v>
      </x:c>
      <x:c r="E59" s="17" t="str">
        <x:v>New York, NY</x:v>
      </x:c>
      <x:c r="F59" s="17" t="str">
        <x:v>Yes</x:v>
      </x:c>
      <x:c r="G59" s="17" t="str">
        <x:v>Unknown</x:v>
      </x:c>
      <x:c r="H59" s="29" t="n">
        <x:v>0</x:v>
      </x:c>
      <x:c r="I59" s="17" t="n">
        <x:v>2</x:v>
      </x:c>
      <x:c r="J59" s="17" t="str">
        <x:v>None</x:v>
      </x:c>
      <x:c r="K59" s="17" t="str">
        <x:v>Sutter Hill Ventures; Insight Partners; others</x:v>
      </x:c>
      <x:c r="L59" s="17" t="str">
        <x:v>Initial public offering</x:v>
      </x:c>
    </x:row>
    <x:row r="60">
      <x:c r="A60" s="17" t="str">
        <x:v>Zulip</x:v>
      </x:c>
      <x:c r="B60" s="17" t="str">
        <x:v>Acquired</x:v>
      </x:c>
      <x:c r="C60" s="17" t="str">
        <x:v>Enterprise Software</x:v>
      </x:c>
      <x:c r="D60" s="17" t="str">
        <x:v>Team collaboration</x:v>
      </x:c>
      <x:c r="E60" s="17" t="str">
        <x:v>Cambridge, MA</x:v>
      </x:c>
      <x:c r="F60" s="17" t="str">
        <x:v>Yes</x:v>
      </x:c>
      <x:c r="G60" s="17" t="str">
        <x:v>Unknown</x:v>
      </x:c>
      <x:c r="H60" s="29" t="n">
        <x:v>0</x:v>
      </x:c>
      <x:c r="I60" s="17" t="n">
        <x:v>3</x:v>
      </x:c>
      <x:c r="J60" s="17" t="str">
        <x:v>None</x:v>
      </x:c>
      <x:c r="K60" s="17" t="str">
        <x:v>Unknown</x:v>
      </x:c>
      <x:c r="L60" s="17" t="str">
        <x:v>Acquired; subsequently open-sourced</x:v>
      </x:c>
    </x:row>
    <x:row r="61">
      <x:c r="A61" s="17" t="str">
        <x:v>Basis</x:v>
      </x:c>
      <x:c r="B61" s="17" t="str">
        <x:v>Closed</x:v>
      </x:c>
      <x:c r="C61" s="17" t="str">
        <x:v>Fintech</x:v>
      </x:c>
      <x:c r="D61" s="17" t="str">
        <x:v>Algorithmic stablecoin</x:v>
      </x:c>
      <x:c r="E61" s="17" t="str">
        <x:v>Hoboken, NJ</x:v>
      </x:c>
      <x:c r="F61" s="17" t="str">
        <x:v>Yes</x:v>
      </x:c>
      <x:c r="G61" s="17" t="str">
        <x:v>At least $133M publicly announced</x:v>
      </x:c>
      <x:c r="H61" s="29" t="n">
        <x:v>133000000</x:v>
      </x:c>
      <x:c r="I61" s="17" t="n">
        <x:v>1</x:v>
      </x:c>
      <x:c r="J61" s="17" t="str">
        <x:v>None</x:v>
      </x:c>
      <x:c r="K61" s="17" t="str">
        <x:v>$133M round included Bain Capital Ventures, GV, Lightspeed, Andreessen Horowitz and others</x:v>
      </x:c>
      <x:c r="L61" s="17" t="str">
        <x:v>Shut down and returned capital after regulatory concerns</x:v>
      </x:c>
    </x:row>
    <x:row r="62">
      <x:c r="A62" s="17" t="str">
        <x:v>CoinList</x:v>
      </x:c>
      <x:c r="B62" s="17" t="str">
        <x:v>Active</x:v>
      </x:c>
      <x:c r="C62" s="17" t="str">
        <x:v>Fintech</x:v>
      </x:c>
      <x:c r="D62" s="17" t="str">
        <x:v>Digital-asset platform</x:v>
      </x:c>
      <x:c r="E62" s="17" t="str">
        <x:v>San Francisco, CA</x:v>
      </x:c>
      <x:c r="F62" s="17" t="str">
        <x:v>Yes</x:v>
      </x:c>
      <x:c r="G62" s="17" t="str">
        <x:v>At least $109.2M publicly announced</x:v>
      </x:c>
      <x:c r="H62" s="29" t="n">
        <x:v>109200000</x:v>
      </x:c>
      <x:c r="I62" s="17" t="n">
        <x:v>1</x:v>
      </x:c>
      <x:c r="J62" s="17" t="str">
        <x:v>Unknown</x:v>
      </x:c>
      <x:c r="K62" s="17" t="str">
        <x:v>Accomplice; Agman Partners; Digital Currency Group; others</x:v>
      </x:c>
      <x:c r="L62" s="17" t="str">
        <x:v>None known</x:v>
      </x:c>
    </x:row>
    <x:row r="63">
      <x:c r="A63" s="17" t="str">
        <x:v>netDecide</x:v>
      </x:c>
      <x:c r="B63" s="17" t="str">
        <x:v>Acquired</x:v>
      </x:c>
      <x:c r="C63" s="17" t="str">
        <x:v>Fintech</x:v>
      </x:c>
      <x:c r="D63" s="17" t="str">
        <x:v>Wealth-management software</x:v>
      </x:c>
      <x:c r="E63" s="17" t="str">
        <x:v>Virginia</x:v>
      </x:c>
      <x:c r="F63" s="17" t="str">
        <x:v>Yes</x:v>
      </x:c>
      <x:c r="G63" s="17" t="str">
        <x:v>Unknown</x:v>
      </x:c>
      <x:c r="H63" s="29" t="n">
        <x:v>0</x:v>
      </x:c>
      <x:c r="I63" s="17" t="n">
        <x:v>1</x:v>
      </x:c>
      <x:c r="J63" s="17" t="str">
        <x:v>None</x:v>
      </x:c>
      <x:c r="K63" s="17" t="str">
        <x:v>Unknown</x:v>
      </x:c>
      <x:c r="L63" s="17" t="str">
        <x:v>Acquired</x:v>
      </x:c>
    </x:row>
    <x:row r="64">
      <x:c r="A64" s="17" t="str">
        <x:v>Pilot</x:v>
      </x:c>
      <x:c r="B64" s="17" t="str">
        <x:v>Active</x:v>
      </x:c>
      <x:c r="C64" s="17" t="str">
        <x:v>Fintech</x:v>
      </x:c>
      <x:c r="D64" s="17" t="str">
        <x:v>Bookkeeping and finance operations</x:v>
      </x:c>
      <x:c r="E64" s="17" t="str">
        <x:v>San Francisco, CA</x:v>
      </x:c>
      <x:c r="F64" s="17" t="str">
        <x:v>Yes</x:v>
      </x:c>
      <x:c r="G64" s="17" t="str">
        <x:v>At least $100M publicly announced</x:v>
      </x:c>
      <x:c r="H64" s="29" t="n">
        <x:v>100000000</x:v>
      </x:c>
      <x:c r="I64" s="17" t="n">
        <x:v>2</x:v>
      </x:c>
      <x:c r="J64" s="17" t="str">
        <x:v>None</x:v>
      </x:c>
      <x:c r="K64" s="17" t="str">
        <x:v>Index Ventures; Sequoia Capital; Bezos Expeditions; Whale Rock</x:v>
      </x:c>
      <x:c r="L64" s="17" t="str">
        <x:v>None known</x:v>
      </x:c>
    </x:row>
    <x:row r="65">
      <x:c r="A65" s="17" t="str">
        <x:v>PortOne Global (formerly CHAI)</x:v>
      </x:c>
      <x:c r="B65" s="17" t="str">
        <x:v>Active</x:v>
      </x:c>
      <x:c r="C65" s="17" t="str">
        <x:v>Fintech</x:v>
      </x:c>
      <x:c r="D65" s="17" t="str">
        <x:v>Payments infrastructure</x:v>
      </x:c>
      <x:c r="E65" s="17" t="str">
        <x:v>Seoul, South Korea</x:v>
      </x:c>
      <x:c r="F65" s="17" t="str">
        <x:v>Yes</x:v>
      </x:c>
      <x:c r="G65" s="17" t="str">
        <x:v>Unknown</x:v>
      </x:c>
      <x:c r="H65" s="29" t="n">
        <x:v>0</x:v>
      </x:c>
      <x:c r="I65" s="17" t="n">
        <x:v>1</x:v>
      </x:c>
      <x:c r="J65" s="17" t="str">
        <x:v>Unknown</x:v>
      </x:c>
      <x:c r="K65" s="17" t="str">
        <x:v>Han River Partners; others</x:v>
      </x:c>
      <x:c r="L65" s="17" t="str">
        <x:v>None known</x:v>
      </x:c>
    </x:row>
    <x:row r="66">
      <x:c r="A66" s="17" t="str">
        <x:v>Robinhood</x:v>
      </x:c>
      <x:c r="B66" s="17" t="str">
        <x:v>Public</x:v>
      </x:c>
      <x:c r="C66" s="17" t="str">
        <x:v>Fintech</x:v>
      </x:c>
      <x:c r="D66" s="17" t="str">
        <x:v>Retail brokerage</x:v>
      </x:c>
      <x:c r="E66" s="17" t="str">
        <x:v>Menlo Park, CA</x:v>
      </x:c>
      <x:c r="F66" s="17" t="str">
        <x:v>Yes</x:v>
      </x:c>
      <x:c r="G66" s="17" t="str">
        <x:v>Unknown</x:v>
      </x:c>
      <x:c r="H66" s="29" t="n">
        <x:v>0</x:v>
      </x:c>
      <x:c r="I66" s="17" t="n">
        <x:v>1</x:v>
      </x:c>
      <x:c r="J66" s="17" t="str">
        <x:v>None</x:v>
      </x:c>
      <x:c r="K66" s="17" t="str">
        <x:v>Index Ventures; NEA; Ribbit Capital; Sequoia; others</x:v>
      </x:c>
      <x:c r="L66" s="17" t="str">
        <x:v>Initial public offering</x:v>
      </x:c>
    </x:row>
    <x:row r="67">
      <x:c r="A67" s="17" t="str">
        <x:v>Terraform Labs</x:v>
      </x:c>
      <x:c r="B67" s="17" t="str">
        <x:v>Closed</x:v>
      </x:c>
      <x:c r="C67" s="17" t="str">
        <x:v>Fintech</x:v>
      </x:c>
      <x:c r="D67" s="17" t="str">
        <x:v>Blockchain</x:v>
      </x:c>
      <x:c r="E67" s="17" t="str">
        <x:v>Singapore</x:v>
      </x:c>
      <x:c r="F67" s="17" t="str">
        <x:v>Yes</x:v>
      </x:c>
      <x:c r="G67" s="17" t="str">
        <x:v>Unknown</x:v>
      </x:c>
      <x:c r="H67" s="29" t="n">
        <x:v>0</x:v>
      </x:c>
      <x:c r="I67" s="17" t="n">
        <x:v>1</x:v>
      </x:c>
      <x:c r="J67" s="17" t="str">
        <x:v>Unknown</x:v>
      </x:c>
      <x:c r="K67" s="17" t="str">
        <x:v>Arrington XRP; Galaxy Digital; Pantera; others</x:v>
      </x:c>
      <x:c r="L67" s="17" t="str">
        <x:v>Bankruptcy / operations wound down</x:v>
      </x:c>
    </x:row>
    <x:row r="68">
      <x:c r="A68" s="17" t="str">
        <x:v>Vectordash</x:v>
      </x:c>
      <x:c r="B68" s="17" t="str">
        <x:v>Acquired</x:v>
      </x:c>
      <x:c r="C68" s="17" t="str">
        <x:v>Gaming</x:v>
      </x:c>
      <x:c r="D68" s="17" t="str">
        <x:v>Cloud gaming</x:v>
      </x:c>
      <x:c r="E68" s="17" t="str">
        <x:v>San Francisco, CA</x:v>
      </x:c>
      <x:c r="F68" s="17" t="str">
        <x:v>Yes</x:v>
      </x:c>
      <x:c r="G68" s="17" t="str">
        <x:v>Unknown</x:v>
      </x:c>
      <x:c r="H68" s="29" t="n">
        <x:v>0</x:v>
      </x:c>
      <x:c r="I68" s="17" t="n">
        <x:v>1</x:v>
      </x:c>
      <x:c r="J68" s="17" t="str">
        <x:v>Y Combinator S18</x:v>
      </x:c>
      <x:c r="K68" s="17" t="str">
        <x:v>Y Combinator; others</x:v>
      </x:c>
      <x:c r="L68" s="17" t="str">
        <x:v>Acquired</x:v>
      </x:c>
    </x:row>
    <x:row r="69">
      <x:c r="A69" s="17" t="str">
        <x:v>Connected Crosswalk Assistance (CoCA)</x:v>
      </x:c>
      <x:c r="B69" s="17" t="str">
        <x:v>Active</x:v>
      </x:c>
      <x:c r="C69" s="17" t="str">
        <x:v>Hardware</x:v>
      </x:c>
      <x:c r="D69" s="17" t="str">
        <x:v>Pedestrian safety</x:v>
      </x:c>
      <x:c r="E69" s="17" t="str">
        <x:v>Fairfax, VA</x:v>
      </x:c>
      <x:c r="F69" s="17" t="str">
        <x:v>No</x:v>
      </x:c>
      <x:c r="G69" s="17" t="str">
        <x:v>Unknown</x:v>
      </x:c>
      <x:c r="H69" s="29" t="n">
        <x:v>0</x:v>
      </x:c>
      <x:c r="I69" s="17" t="n">
        <x:v>5</x:v>
      </x:c>
      <x:c r="J69" s="17" t="str">
        <x:v>Unknown</x:v>
      </x:c>
      <x:c r="K69" s="17" t="str">
        <x:v>Unknown</x:v>
      </x:c>
      <x:c r="L69" s="17" t="str">
        <x:v>None known</x:v>
      </x:c>
    </x:row>
    <x:row r="70">
      <x:c r="A70" s="17" t="str">
        <x:v>OpenBCI</x:v>
      </x:c>
      <x:c r="B70" s="17" t="str">
        <x:v>Active</x:v>
      </x:c>
      <x:c r="C70" s="17" t="str">
        <x:v>Hardware</x:v>
      </x:c>
      <x:c r="D70" s="17" t="str">
        <x:v>Brain-computer interfaces</x:v>
      </x:c>
      <x:c r="E70" s="17" t="str">
        <x:v>Brooklyn, NY</x:v>
      </x:c>
      <x:c r="F70" s="17" t="str">
        <x:v>Crowdfunded</x:v>
      </x:c>
      <x:c r="G70" s="17" t="str">
        <x:v>At least $384K Kickstarter campaign; later financing undisclosed</x:v>
      </x:c>
      <x:c r="H70" s="29" t="n">
        <x:v>384000</x:v>
      </x:c>
      <x:c r="I70" s="17" t="n">
        <x:v>1</x:v>
      </x:c>
      <x:c r="J70" s="17" t="str">
        <x:v>Kickstarter</x:v>
      </x:c>
      <x:c r="K70" s="17" t="str">
        <x:v>Unknown</x:v>
      </x:c>
      <x:c r="L70" s="17" t="str">
        <x:v>None known</x:v>
      </x:c>
    </x:row>
    <x:row r="71">
      <x:c r="A71" s="17" t="str">
        <x:v>Assort Health</x:v>
      </x:c>
      <x:c r="B71" s="17" t="str">
        <x:v>Active</x:v>
      </x:c>
      <x:c r="C71" s="17" t="str">
        <x:v>Healthcare</x:v>
      </x:c>
      <x:c r="D71" s="17" t="str">
        <x:v>AI patient scheduling</x:v>
      </x:c>
      <x:c r="E71" s="17" t="str">
        <x:v>San Francisco, CA</x:v>
      </x:c>
      <x:c r="F71" s="17" t="str">
        <x:v>Yes</x:v>
      </x:c>
      <x:c r="G71" s="17" t="str">
        <x:v>$222M publicly reported</x:v>
      </x:c>
      <x:c r="H71" s="29" t="n">
        <x:v>222000000</x:v>
      </x:c>
      <x:c r="I71" s="17" t="n">
        <x:v>1</x:v>
      </x:c>
      <x:c r="J71" s="17" t="str">
        <x:v>Unknown</x:v>
      </x:c>
      <x:c r="K71" s="17" t="str">
        <x:v>Greenfield Partners; First Round; Chemistry; Quiet Capital; others</x:v>
      </x:c>
      <x:c r="L71" s="17" t="str">
        <x:v>None known</x:v>
      </x:c>
    </x:row>
    <x:row r="72">
      <x:c r="A72" s="17" t="str">
        <x:v>BetterBrain</x:v>
      </x:c>
      <x:c r="B72" s="17" t="str">
        <x:v>Active</x:v>
      </x:c>
      <x:c r="C72" s="17" t="str">
        <x:v>Healthcare</x:v>
      </x:c>
      <x:c r="D72" s="17" t="str">
        <x:v>Digital health</x:v>
      </x:c>
      <x:c r="E72" s="17" t="str">
        <x:v>Unknown</x:v>
      </x:c>
      <x:c r="F72" s="17" t="str">
        <x:v>Unknown</x:v>
      </x:c>
      <x:c r="G72" s="17" t="str">
        <x:v>Unknown</x:v>
      </x:c>
      <x:c r="H72" s="29" t="n">
        <x:v>0</x:v>
      </x:c>
      <x:c r="I72" s="17" t="n">
        <x:v>1</x:v>
      </x:c>
      <x:c r="J72" s="17" t="str">
        <x:v>Unknown</x:v>
      </x:c>
      <x:c r="K72" s="17" t="str">
        <x:v>Unknown</x:v>
      </x:c>
      <x:c r="L72" s="17" t="str">
        <x:v>None known</x:v>
      </x:c>
    </x:row>
    <x:row r="73">
      <x:c r="A73" s="17" t="str">
        <x:v>Manufacture New York</x:v>
      </x:c>
      <x:c r="B73" s="17" t="str">
        <x:v>Closed</x:v>
      </x:c>
      <x:c r="C73" s="17" t="str">
        <x:v>Manufacturing</x:v>
      </x:c>
      <x:c r="D73" s="17" t="str">
        <x:v>Fashion manufacturing</x:v>
      </x:c>
      <x:c r="E73" s="17" t="str">
        <x:v>Brooklyn, NY</x:v>
      </x:c>
      <x:c r="F73" s="17" t="str">
        <x:v>Yes</x:v>
      </x:c>
      <x:c r="G73" s="17" t="str">
        <x:v>Unknown</x:v>
      </x:c>
      <x:c r="H73" s="29" t="n">
        <x:v>0</x:v>
      </x:c>
      <x:c r="I73" s="17" t="n">
        <x:v>1</x:v>
      </x:c>
      <x:c r="J73" s="17" t="str">
        <x:v>None</x:v>
      </x:c>
      <x:c r="K73" s="17" t="str">
        <x:v>Unknown</x:v>
      </x:c>
      <x:c r="L73" s="17" t="str">
        <x:v>Closed</x:v>
      </x:c>
    </x:row>
    <x:row r="74">
      <x:c r="A74" s="17" t="str">
        <x:v>The Muse</x:v>
      </x:c>
      <x:c r="B74" s="17" t="str">
        <x:v>Active</x:v>
      </x:c>
      <x:c r="C74" s="17" t="str">
        <x:v>Marketplace</x:v>
      </x:c>
      <x:c r="D74" s="17" t="str">
        <x:v>Career platform</x:v>
      </x:c>
      <x:c r="E74" s="17" t="str">
        <x:v>New York, NY</x:v>
      </x:c>
      <x:c r="F74" s="17" t="str">
        <x:v>Yes</x:v>
      </x:c>
      <x:c r="G74" s="17" t="str">
        <x:v>Unknown</x:v>
      </x:c>
      <x:c r="H74" s="29" t="n">
        <x:v>0</x:v>
      </x:c>
      <x:c r="I74" s="17" t="n">
        <x:v>1</x:v>
      </x:c>
      <x:c r="J74" s="17" t="str">
        <x:v>Y Combinator W12</x:v>
      </x:c>
      <x:c r="K74" s="17" t="str">
        <x:v>Icon Ventures; Aspect Ventures; QED Investors; others</x:v>
      </x:c>
      <x:c r="L74" s="17" t="str">
        <x:v>None known</x:v>
      </x:c>
    </x:row>
    <x:row r="75">
      <x:c r="A75" s="17" t="str">
        <x:v>Feel Train</x:v>
      </x:c>
      <x:c r="B75" s="17" t="str">
        <x:v>Dormant</x:v>
      </x:c>
      <x:c r="C75" s="17" t="str">
        <x:v>Media</x:v>
      </x:c>
      <x:c r="D75" s="17" t="str">
        <x:v>Creative technology studio</x:v>
      </x:c>
      <x:c r="E75" s="17" t="str">
        <x:v>Portland, OR</x:v>
      </x:c>
      <x:c r="F75" s="17" t="str">
        <x:v>Bootstrapped</x:v>
      </x:c>
      <x:c r="G75" s="17" t="str">
        <x:v>Unknown</x:v>
      </x:c>
      <x:c r="H75" s="29" t="n">
        <x:v>0</x:v>
      </x:c>
      <x:c r="I75" s="17" t="n">
        <x:v>1</x:v>
      </x:c>
      <x:c r="J75" s="17" t="str">
        <x:v>None</x:v>
      </x:c>
      <x:c r="K75" s="17" t="str">
        <x:v>Unknown</x:v>
      </x:c>
      <x:c r="L75" s="17" t="str">
        <x:v>Operations wound down / dormant</x:v>
      </x:c>
    </x:row>
    <x:row r="76">
      <x:c r="A76" s="17" t="str">
        <x:v>Invite Media</x:v>
      </x:c>
      <x:c r="B76" s="17" t="str">
        <x:v>Acquired</x:v>
      </x:c>
      <x:c r="C76" s="17" t="str">
        <x:v>Media</x:v>
      </x:c>
      <x:c r="D76" s="17" t="str">
        <x:v>Demand-side advertising</x:v>
      </x:c>
      <x:c r="E76" s="17" t="str">
        <x:v>New York, NY</x:v>
      </x:c>
      <x:c r="F76" s="17" t="str">
        <x:v>Yes</x:v>
      </x:c>
      <x:c r="G76" s="17" t="str">
        <x:v>Unknown</x:v>
      </x:c>
      <x:c r="H76" s="29" t="n">
        <x:v>0</x:v>
      </x:c>
      <x:c r="I76" s="17" t="n">
        <x:v>1</x:v>
      </x:c>
      <x:c r="J76" s="17" t="str">
        <x:v>Unknown</x:v>
      </x:c>
      <x:c r="K76" s="17" t="str">
        <x:v>First Round Capital; Comcast Ventures; others</x:v>
      </x:c>
      <x:c r="L76" s="17" t="str">
        <x:v>Acquired</x:v>
      </x:c>
    </x:row>
    <x:row r="77">
      <x:c r="A77" s="17" t="str">
        <x:v>Pretty Young Professionals</x:v>
      </x:c>
      <x:c r="B77" s="17" t="str">
        <x:v>Closed</x:v>
      </x:c>
      <x:c r="C77" s="17" t="str">
        <x:v>Media</x:v>
      </x:c>
      <x:c r="D77" s="17" t="str">
        <x:v>Professional community</x:v>
      </x:c>
      <x:c r="E77" s="17" t="str">
        <x:v>New York, NY</x:v>
      </x:c>
      <x:c r="F77" s="17" t="str">
        <x:v>Bootstrapped</x:v>
      </x:c>
      <x:c r="G77" s="17" t="str">
        <x:v>Unknown</x:v>
      </x:c>
      <x:c r="H77" s="29" t="n">
        <x:v>0</x:v>
      </x:c>
      <x:c r="I77" s="17" t="n">
        <x:v>1</x:v>
      </x:c>
      <x:c r="J77" s="17" t="str">
        <x:v>None</x:v>
      </x:c>
      <x:c r="K77" s="17" t="str">
        <x:v>Unknown</x:v>
      </x:c>
      <x:c r="L77" s="17" t="str">
        <x:v>Closed after founder dispute</x:v>
      </x:c>
    </x:row>
    <x:row r="78">
      <x:c r="A78" s="17" t="str">
        <x:v>Action and Civic Tech Scholars</x:v>
      </x:c>
      <x:c r="B78" s="17" t="str">
        <x:v>Dormant</x:v>
      </x:c>
      <x:c r="C78" s="17" t="str">
        <x:v>Nonprofit</x:v>
      </x:c>
      <x:c r="D78" s="17" t="str">
        <x:v>Civic technology education</x:v>
      </x:c>
      <x:c r="E78" s="17" t="str">
        <x:v>Cambridge, MA</x:v>
      </x:c>
      <x:c r="F78" s="17" t="str">
        <x:v>No</x:v>
      </x:c>
      <x:c r="G78" s="17" t="str">
        <x:v>Unknown</x:v>
      </x:c>
      <x:c r="H78" s="29" t="n">
        <x:v>0</x:v>
      </x:c>
      <x:c r="I78" s="17" t="n">
        <x:v>1</x:v>
      </x:c>
      <x:c r="J78" s="17" t="str">
        <x:v>None</x:v>
      </x:c>
      <x:c r="K78" s="17" t="str">
        <x:v>Unknown</x:v>
      </x:c>
      <x:c r="L78" s="17" t="str">
        <x:v>Dormant / status unclear</x:v>
      </x:c>
    </x:row>
    <x:row r="79">
      <x:c r="A79" s="17" t="str">
        <x:v>Climate Cardinals</x:v>
      </x:c>
      <x:c r="B79" s="17" t="str">
        <x:v>Active</x:v>
      </x:c>
      <x:c r="C79" s="17" t="str">
        <x:v>Nonprofit</x:v>
      </x:c>
      <x:c r="D79" s="17" t="str">
        <x:v>Climate communication</x:v>
      </x:c>
      <x:c r="E79" s="17" t="str">
        <x:v>Washington, DC</x:v>
      </x:c>
      <x:c r="F79" s="17" t="str">
        <x:v>No</x:v>
      </x:c>
      <x:c r="G79" s="17" t="str">
        <x:v>Unknown</x:v>
      </x:c>
      <x:c r="H79" s="29" t="n">
        <x:v>0</x:v>
      </x:c>
      <x:c r="I79" s="17" t="n">
        <x:v>1</x:v>
      </x:c>
      <x:c r="J79" s="17" t="str">
        <x:v>Unknown</x:v>
      </x:c>
      <x:c r="K79" s="17" t="str">
        <x:v>Google.org; Schmidt Futures; others</x:v>
      </x:c>
      <x:c r="L79" s="17" t="str">
        <x:v>None known</x:v>
      </x:c>
    </x:row>
    <x:row r="80">
      <x:c r="A80" s="17" t="str">
        <x:v>Cosmos Institute</x:v>
      </x:c>
      <x:c r="B80" s="17" t="str">
        <x:v>Active</x:v>
      </x:c>
      <x:c r="C80" s="17" t="str">
        <x:v>Nonprofit</x:v>
      </x:c>
      <x:c r="D80" s="17" t="str">
        <x:v>AI philosophy and governance</x:v>
      </x:c>
      <x:c r="E80" s="17" t="str">
        <x:v>San Francisco, CA</x:v>
      </x:c>
      <x:c r="F80" s="17" t="str">
        <x:v>No</x:v>
      </x:c>
      <x:c r="G80" s="17" t="str">
        <x:v>Unknown</x:v>
      </x:c>
      <x:c r="H80" s="29" t="n">
        <x:v>0</x:v>
      </x:c>
      <x:c r="I80" s="17" t="n">
        <x:v>1</x:v>
      </x:c>
      <x:c r="J80" s="17" t="str">
        <x:v>None</x:v>
      </x:c>
      <x:c r="K80" s="17" t="str">
        <x:v>Unknown</x:v>
      </x:c>
      <x:c r="L80" s="17" t="str">
        <x:v>None known</x:v>
      </x:c>
    </x:row>
    <x:row r="81">
      <x:c r="A81" s="17" t="str">
        <x:v>Drunken Boat</x:v>
      </x:c>
      <x:c r="B81" s="17" t="str">
        <x:v>Dormant</x:v>
      </x:c>
      <x:c r="C81" s="17" t="str">
        <x:v>Nonprofit</x:v>
      </x:c>
      <x:c r="D81" s="17" t="str">
        <x:v>Literary journal</x:v>
      </x:c>
      <x:c r="E81" s="17" t="str">
        <x:v>Unknown</x:v>
      </x:c>
      <x:c r="F81" s="17" t="str">
        <x:v>No</x:v>
      </x:c>
      <x:c r="G81" s="17" t="str">
        <x:v>Unknown</x:v>
      </x:c>
      <x:c r="H81" s="29" t="n">
        <x:v>0</x:v>
      </x:c>
      <x:c r="I81" s="17" t="n">
        <x:v>1</x:v>
      </x:c>
      <x:c r="J81" s="17" t="str">
        <x:v>None</x:v>
      </x:c>
      <x:c r="K81" s="17" t="str">
        <x:v>Unknown</x:v>
      </x:c>
      <x:c r="L81" s="17" t="str">
        <x:v>Dormant / publication archived</x:v>
      </x:c>
    </x:row>
    <x:row r="82">
      <x:c r="A82" s="17" t="str">
        <x:v>Girls Computing League</x:v>
      </x:c>
      <x:c r="B82" s="17" t="str">
        <x:v>Active</x:v>
      </x:c>
      <x:c r="C82" s="17" t="str">
        <x:v>Nonprofit</x:v>
      </x:c>
      <x:c r="D82" s="17" t="str">
        <x:v>Computer-science education</x:v>
      </x:c>
      <x:c r="E82" s="17" t="str">
        <x:v>Fairfax, VA</x:v>
      </x:c>
      <x:c r="F82" s="17" t="str">
        <x:v>No</x:v>
      </x:c>
      <x:c r="G82" s="17" t="str">
        <x:v>Unknown</x:v>
      </x:c>
      <x:c r="H82" s="29" t="n">
        <x:v>0</x:v>
      </x:c>
      <x:c r="I82" s="17" t="n">
        <x:v>1</x:v>
      </x:c>
      <x:c r="J82" s="17" t="str">
        <x:v>Unknown</x:v>
      </x:c>
      <x:c r="K82" s="17" t="str">
        <x:v>Unknown</x:v>
      </x:c>
      <x:c r="L82" s="17" t="str">
        <x:v>None known</x:v>
      </x:c>
    </x:row>
    <x:row r="83">
      <x:c r="A83" s="17" t="str">
        <x:v>GIVE</x:v>
      </x:c>
      <x:c r="B83" s="17" t="str">
        <x:v>Active</x:v>
      </x:c>
      <x:c r="C83" s="17" t="str">
        <x:v>Nonprofit</x:v>
      </x:c>
      <x:c r="D83" s="17" t="str">
        <x:v>Peer tutoring</x:v>
      </x:c>
      <x:c r="E83" s="17" t="str">
        <x:v>Northern Virginia</x:v>
      </x:c>
      <x:c r="F83" s="17" t="str">
        <x:v>No</x:v>
      </x:c>
      <x:c r="G83" s="17" t="str">
        <x:v>Unknown</x:v>
      </x:c>
      <x:c r="H83" s="29" t="n">
        <x:v>0</x:v>
      </x:c>
      <x:c r="I83" s="17" t="n">
        <x:v>1</x:v>
      </x:c>
      <x:c r="J83" s="17" t="str">
        <x:v>None</x:v>
      </x:c>
      <x:c r="K83" s="17" t="str">
        <x:v>Unknown</x:v>
      </x:c>
      <x:c r="L83" s="17" t="str">
        <x:v>None known</x:v>
      </x:c>
    </x:row>
    <x:row r="84">
      <x:c r="A84" s="17" t="str">
        <x:v>Givology</x:v>
      </x:c>
      <x:c r="B84" s="17" t="str">
        <x:v>Active</x:v>
      </x:c>
      <x:c r="C84" s="17" t="str">
        <x:v>Nonprofit</x:v>
      </x:c>
      <x:c r="D84" s="17" t="str">
        <x:v>Education philanthropy</x:v>
      </x:c>
      <x:c r="E84" s="17" t="str">
        <x:v>Philadelphia, PA</x:v>
      </x:c>
      <x:c r="F84" s="17" t="str">
        <x:v>No</x:v>
      </x:c>
      <x:c r="G84" s="17" t="str">
        <x:v>Unknown</x:v>
      </x:c>
      <x:c r="H84" s="29" t="n">
        <x:v>0</x:v>
      </x:c>
      <x:c r="I84" s="17" t="n">
        <x:v>1</x:v>
      </x:c>
      <x:c r="J84" s="17" t="str">
        <x:v>None</x:v>
      </x:c>
      <x:c r="K84" s="17" t="str">
        <x:v>Unknown</x:v>
      </x:c>
      <x:c r="L84" s="17" t="str">
        <x:v>None known</x:v>
      </x:c>
    </x:row>
    <x:row r="85">
      <x:c r="A85" s="17" t="str">
        <x:v>Learning Pathways Project</x:v>
      </x:c>
      <x:c r="B85" s="17" t="str">
        <x:v>Dormant</x:v>
      </x:c>
      <x:c r="C85" s="17" t="str">
        <x:v>Nonprofit</x:v>
      </x:c>
      <x:c r="D85" s="17" t="str">
        <x:v>Education</x:v>
      </x:c>
      <x:c r="E85" s="17" t="str">
        <x:v>Fairfax, VA</x:v>
      </x:c>
      <x:c r="F85" s="17" t="str">
        <x:v>No</x:v>
      </x:c>
      <x:c r="G85" s="17" t="str">
        <x:v>Unknown</x:v>
      </x:c>
      <x:c r="H85" s="29" t="n">
        <x:v>0</x:v>
      </x:c>
      <x:c r="I85" s="17" t="n">
        <x:v>1</x:v>
      </x:c>
      <x:c r="J85" s="17" t="str">
        <x:v>None</x:v>
      </x:c>
      <x:c r="K85" s="17" t="str">
        <x:v>Unknown</x:v>
      </x:c>
      <x:c r="L85" s="17" t="str">
        <x:v>Dormant / status unclear</x:v>
      </x:c>
    </x:row>
    <x:row r="86">
      <x:c r="A86" s="17" t="str">
        <x:v>NeuroTechNYC</x:v>
      </x:c>
      <x:c r="B86" s="17" t="str">
        <x:v>Active</x:v>
      </x:c>
      <x:c r="C86" s="17" t="str">
        <x:v>Nonprofit</x:v>
      </x:c>
      <x:c r="D86" s="17" t="str">
        <x:v>Neurotechnology community</x:v>
      </x:c>
      <x:c r="E86" s="17" t="str">
        <x:v>New York, NY</x:v>
      </x:c>
      <x:c r="F86" s="17" t="str">
        <x:v>No</x:v>
      </x:c>
      <x:c r="G86" s="17" t="str">
        <x:v>Unknown</x:v>
      </x:c>
      <x:c r="H86" s="29" t="n">
        <x:v>0</x:v>
      </x:c>
      <x:c r="I86" s="17" t="n">
        <x:v>1</x:v>
      </x:c>
      <x:c r="J86" s="17" t="str">
        <x:v>None</x:v>
      </x:c>
      <x:c r="K86" s="17" t="str">
        <x:v>Unknown</x:v>
      </x:c>
      <x:c r="L86" s="17" t="str">
        <x:v>None known</x:v>
      </x:c>
    </x:row>
    <x:row r="87">
      <x:c r="A87" s="17" t="str">
        <x:v>ProjectCSGIRLS</x:v>
      </x:c>
      <x:c r="B87" s="17" t="str">
        <x:v>Active</x:v>
      </x:c>
      <x:c r="C87" s="17" t="str">
        <x:v>Nonprofit</x:v>
      </x:c>
      <x:c r="D87" s="17" t="str">
        <x:v>Computer-science education</x:v>
      </x:c>
      <x:c r="E87" s="17" t="str">
        <x:v>Washington, DC</x:v>
      </x:c>
      <x:c r="F87" s="17" t="str">
        <x:v>No</x:v>
      </x:c>
      <x:c r="G87" s="17" t="str">
        <x:v>Unknown</x:v>
      </x:c>
      <x:c r="H87" s="29" t="n">
        <x:v>0</x:v>
      </x:c>
      <x:c r="I87" s="17" t="n">
        <x:v>1</x:v>
      </x:c>
      <x:c r="J87" s="17" t="str">
        <x:v>None</x:v>
      </x:c>
      <x:c r="K87" s="17" t="str">
        <x:v>Unknown</x:v>
      </x:c>
      <x:c r="L87" s="17" t="str">
        <x:v>None known</x:v>
      </x:c>
    </x:row>
    <x:row r="88">
      <x:c r="A88" s="17" t="str">
        <x:v>STEMForU</x:v>
      </x:c>
      <x:c r="B88" s="17" t="str">
        <x:v>Active</x:v>
      </x:c>
      <x:c r="C88" s="17" t="str">
        <x:v>Nonprofit</x:v>
      </x:c>
      <x:c r="D88" s="17" t="str">
        <x:v>STEM education</x:v>
      </x:c>
      <x:c r="E88" s="17" t="str">
        <x:v>Fairfax, VA</x:v>
      </x:c>
      <x:c r="F88" s="17" t="str">
        <x:v>No</x:v>
      </x:c>
      <x:c r="G88" s="17" t="str">
        <x:v>Unknown</x:v>
      </x:c>
      <x:c r="H88" s="29" t="n">
        <x:v>0</x:v>
      </x:c>
      <x:c r="I88" s="17" t="n">
        <x:v>1</x:v>
      </x:c>
      <x:c r="J88" s="17" t="str">
        <x:v>None</x:v>
      </x:c>
      <x:c r="K88" s="17" t="str">
        <x:v>Unknown</x:v>
      </x:c>
      <x:c r="L88" s="17" t="str">
        <x:v>None known</x:v>
      </x:c>
    </x:row>
    <x:row r="89">
      <x:c r="A89" s="17" t="str">
        <x:v>TecHacks</x:v>
      </x:c>
      <x:c r="B89" s="17" t="str">
        <x:v>Active</x:v>
      </x:c>
      <x:c r="C89" s="17" t="str">
        <x:v>Nonprofit</x:v>
      </x:c>
      <x:c r="D89" s="17" t="str">
        <x:v>Hackathon</x:v>
      </x:c>
      <x:c r="E89" s="17" t="str">
        <x:v>Fairfax, VA</x:v>
      </x:c>
      <x:c r="F89" s="17" t="str">
        <x:v>No</x:v>
      </x:c>
      <x:c r="G89" s="17" t="str">
        <x:v>Unknown</x:v>
      </x:c>
      <x:c r="H89" s="29" t="n">
        <x:v>0</x:v>
      </x:c>
      <x:c r="I89" s="17" t="n">
        <x:v>1</x:v>
      </x:c>
      <x:c r="J89" s="17" t="str">
        <x:v>None</x:v>
      </x:c>
      <x:c r="K89" s="17" t="str">
        <x:v>Unknown</x:v>
      </x:c>
      <x:c r="L89" s="17" t="str">
        <x:v>None known</x:v>
      </x:c>
    </x:row>
    <x:row r="90">
      <x:c r="A90" s="17" t="str">
        <x:v>The AI Collective</x:v>
      </x:c>
      <x:c r="B90" s="17" t="str">
        <x:v>Active</x:v>
      </x:c>
      <x:c r="C90" s="17" t="str">
        <x:v>Nonprofit</x:v>
      </x:c>
      <x:c r="D90" s="17" t="str">
        <x:v>AI community</x:v>
      </x:c>
      <x:c r="E90" s="17" t="str">
        <x:v>San Francisco, CA</x:v>
      </x:c>
      <x:c r="F90" s="17" t="str">
        <x:v>No</x:v>
      </x:c>
      <x:c r="G90" s="17" t="str">
        <x:v>Unknown</x:v>
      </x:c>
      <x:c r="H90" s="29" t="n">
        <x:v>0</x:v>
      </x:c>
      <x:c r="I90" s="17" t="n">
        <x:v>1</x:v>
      </x:c>
      <x:c r="J90" s="17" t="str">
        <x:v>None</x:v>
      </x:c>
      <x:c r="K90" s="17" t="str">
        <x:v>Unknown</x:v>
      </x:c>
      <x:c r="L90" s="17" t="str">
        <x:v>None known</x:v>
      </x:c>
    </x:row>
    <x:row r="91">
      <x:c r="A91" s="17" t="str">
        <x:v>Anju</x:v>
      </x:c>
      <x:c r="B91" s="17" t="str">
        <x:v>Active</x:v>
      </x:c>
      <x:c r="C91" s="17" t="str">
        <x:v>Other</x:v>
      </x:c>
      <x:c r="D91" s="17" t="str">
        <x:v>Restaurant</x:v>
      </x:c>
      <x:c r="E91" s="17" t="str">
        <x:v>Washington, DC</x:v>
      </x:c>
      <x:c r="F91" s="17" t="str">
        <x:v>Bootstrapped</x:v>
      </x:c>
      <x:c r="G91" s="17" t="str">
        <x:v>Unknown</x:v>
      </x:c>
      <x:c r="H91" s="29" t="n">
        <x:v>0</x:v>
      </x:c>
      <x:c r="I91" s="17" t="n">
        <x:v>1</x:v>
      </x:c>
      <x:c r="J91" s="17" t="str">
        <x:v>None</x:v>
      </x:c>
      <x:c r="K91" s="17" t="str">
        <x:v>Unknown</x:v>
      </x:c>
      <x:c r="L91" s="17" t="str">
        <x:v>None known</x:v>
      </x:c>
    </x:row>
    <x:row r="92">
      <x:c r="A92" s="17" t="str">
        <x:v>CHIKO</x:v>
      </x:c>
      <x:c r="B92" s="17" t="str">
        <x:v>Active</x:v>
      </x:c>
      <x:c r="C92" s="17" t="str">
        <x:v>Other</x:v>
      </x:c>
      <x:c r="D92" s="17" t="str">
        <x:v>Restaurant</x:v>
      </x:c>
      <x:c r="E92" s="17" t="str">
        <x:v>Washington, DC</x:v>
      </x:c>
      <x:c r="F92" s="17" t="str">
        <x:v>Bootstrapped</x:v>
      </x:c>
      <x:c r="G92" s="17" t="str">
        <x:v>Unknown</x:v>
      </x:c>
      <x:c r="H92" s="29" t="n">
        <x:v>0</x:v>
      </x:c>
      <x:c r="I92" s="17" t="n">
        <x:v>1</x:v>
      </x:c>
      <x:c r="J92" s="17" t="str">
        <x:v>None</x:v>
      </x:c>
      <x:c r="K92" s="17" t="str">
        <x:v>Unknown</x:v>
      </x:c>
      <x:c r="L92" s="17" t="str">
        <x:v>None known</x:v>
      </x:c>
    </x:row>
    <x:row r="93">
      <x:c r="A93" s="17" t="str">
        <x:v>Commonwealth</x:v>
      </x:c>
      <x:c r="B93" s="17" t="str">
        <x:v>Closed</x:v>
      </x:c>
      <x:c r="C93" s="17" t="str">
        <x:v>Other</x:v>
      </x:c>
      <x:c r="D93" s="17" t="str">
        <x:v>Restaurant</x:v>
      </x:c>
      <x:c r="E93" s="17" t="str">
        <x:v>San Francisco, CA</x:v>
      </x:c>
      <x:c r="F93" s="17" t="str">
        <x:v>Bootstrapped</x:v>
      </x:c>
      <x:c r="G93" s="17" t="str">
        <x:v>Unknown</x:v>
      </x:c>
      <x:c r="H93" s="29" t="n">
        <x:v>0</x:v>
      </x:c>
      <x:c r="I93" s="17" t="n">
        <x:v>1</x:v>
      </x:c>
      <x:c r="J93" s="17" t="str">
        <x:v>None</x:v>
      </x:c>
      <x:c r="K93" s="17" t="str">
        <x:v>Unknown</x:v>
      </x:c>
      <x:c r="L93" s="17" t="str">
        <x:v>Closed</x:v>
      </x:c>
    </x:row>
    <x:row r="94">
      <x:c r="A94" s="17" t="str">
        <x:v>Mandu</x:v>
      </x:c>
      <x:c r="B94" s="17" t="str">
        <x:v>Active</x:v>
      </x:c>
      <x:c r="C94" s="17" t="str">
        <x:v>Other</x:v>
      </x:c>
      <x:c r="D94" s="17" t="str">
        <x:v>Restaurant</x:v>
      </x:c>
      <x:c r="E94" s="17" t="str">
        <x:v>Washington, DC</x:v>
      </x:c>
      <x:c r="F94" s="17" t="str">
        <x:v>Bootstrapped</x:v>
      </x:c>
      <x:c r="G94" s="17" t="str">
        <x:v>Unknown</x:v>
      </x:c>
      <x:c r="H94" s="29" t="n">
        <x:v>0</x:v>
      </x:c>
      <x:c r="I94" s="17" t="n">
        <x:v>1</x:v>
      </x:c>
      <x:c r="J94" s="17" t="str">
        <x:v>None</x:v>
      </x:c>
      <x:c r="K94" s="17" t="str">
        <x:v>Unknown</x:v>
      </x:c>
      <x:c r="L94" s="17" t="str">
        <x:v>None known</x:v>
      </x:c>
    </x:row>
    <x:row r="95">
      <x:c r="A95" s="17" t="str">
        <x:v>Mission Burger</x:v>
      </x:c>
      <x:c r="B95" s="17" t="str">
        <x:v>Closed</x:v>
      </x:c>
      <x:c r="C95" s="17" t="str">
        <x:v>Other</x:v>
      </x:c>
      <x:c r="D95" s="17" t="str">
        <x:v>Restaurant</x:v>
      </x:c>
      <x:c r="E95" s="17" t="str">
        <x:v>San Francisco, CA</x:v>
      </x:c>
      <x:c r="F95" s="17" t="str">
        <x:v>Bootstrapped</x:v>
      </x:c>
      <x:c r="G95" s="17" t="str">
        <x:v>Unknown</x:v>
      </x:c>
      <x:c r="H95" s="29" t="n">
        <x:v>0</x:v>
      </x:c>
      <x:c r="I95" s="17" t="n">
        <x:v>1</x:v>
      </x:c>
      <x:c r="J95" s="17" t="str">
        <x:v>None</x:v>
      </x:c>
      <x:c r="K95" s="17" t="str">
        <x:v>Unknown</x:v>
      </x:c>
      <x:c r="L95" s="17" t="str">
        <x:v>Closed</x:v>
      </x:c>
    </x:row>
    <x:row r="96">
      <x:c r="A96" s="17" t="str">
        <x:v>Mission Cantina</x:v>
      </x:c>
      <x:c r="B96" s="17" t="str">
        <x:v>Closed</x:v>
      </x:c>
      <x:c r="C96" s="17" t="str">
        <x:v>Other</x:v>
      </x:c>
      <x:c r="D96" s="17" t="str">
        <x:v>Restaurant</x:v>
      </x:c>
      <x:c r="E96" s="17" t="str">
        <x:v>New York, NY</x:v>
      </x:c>
      <x:c r="F96" s="17" t="str">
        <x:v>Bootstrapped</x:v>
      </x:c>
      <x:c r="G96" s="17" t="str">
        <x:v>Unknown</x:v>
      </x:c>
      <x:c r="H96" s="29" t="n">
        <x:v>0</x:v>
      </x:c>
      <x:c r="I96" s="17" t="n">
        <x:v>1</x:v>
      </x:c>
      <x:c r="J96" s="17" t="str">
        <x:v>None</x:v>
      </x:c>
      <x:c r="K96" s="17" t="str">
        <x:v>Unknown</x:v>
      </x:c>
      <x:c r="L96" s="17" t="str">
        <x:v>Closed</x:v>
      </x:c>
    </x:row>
    <x:row r="97">
      <x:c r="A97" s="17" t="str">
        <x:v>Mission Chinese Food</x:v>
      </x:c>
      <x:c r="B97" s="17" t="str">
        <x:v>Closed</x:v>
      </x:c>
      <x:c r="C97" s="17" t="str">
        <x:v>Other</x:v>
      </x:c>
      <x:c r="D97" s="17" t="str">
        <x:v>Restaurant</x:v>
      </x:c>
      <x:c r="E97" s="17" t="str">
        <x:v>San Francisco, CA</x:v>
      </x:c>
      <x:c r="F97" s="17" t="str">
        <x:v>Bootstrapped</x:v>
      </x:c>
      <x:c r="G97" s="17" t="str">
        <x:v>Unknown</x:v>
      </x:c>
      <x:c r="H97" s="29" t="n">
        <x:v>0</x:v>
      </x:c>
      <x:c r="I97" s="17" t="n">
        <x:v>1</x:v>
      </x:c>
      <x:c r="J97" s="17" t="str">
        <x:v>None</x:v>
      </x:c>
      <x:c r="K97" s="17" t="str">
        <x:v>Unknown</x:v>
      </x:c>
      <x:c r="L97" s="17" t="str">
        <x:v>Closed</x:v>
      </x:c>
    </x:row>
    <x:row r="98">
      <x:c r="A98" s="17" t="str">
        <x:v>Mission Street Food</x:v>
      </x:c>
      <x:c r="B98" s="17" t="str">
        <x:v>Closed</x:v>
      </x:c>
      <x:c r="C98" s="17" t="str">
        <x:v>Other</x:v>
      </x:c>
      <x:c r="D98" s="17" t="str">
        <x:v>Restaurant</x:v>
      </x:c>
      <x:c r="E98" s="17" t="str">
        <x:v>San Francisco, CA</x:v>
      </x:c>
      <x:c r="F98" s="17" t="str">
        <x:v>Bootstrapped</x:v>
      </x:c>
      <x:c r="G98" s="17" t="str">
        <x:v>Unknown</x:v>
      </x:c>
      <x:c r="H98" s="29" t="n">
        <x:v>0</x:v>
      </x:c>
      <x:c r="I98" s="17" t="n">
        <x:v>1</x:v>
      </x:c>
      <x:c r="J98" s="17" t="str">
        <x:v>None</x:v>
      </x:c>
      <x:c r="K98" s="17" t="str">
        <x:v>Unknown</x:v>
      </x:c>
      <x:c r="L98" s="17" t="str">
        <x:v>Closed</x:v>
      </x:c>
    </x:row>
    <x:row r="99">
      <x:c r="A99" s="17" t="str">
        <x:v>Orchard Robotics</x:v>
      </x:c>
      <x:c r="B99" s="17" t="str">
        <x:v>Active</x:v>
      </x:c>
      <x:c r="C99" s="17" t="str">
        <x:v>Robotics</x:v>
      </x:c>
      <x:c r="D99" s="17" t="str">
        <x:v>Agricultural robotics</x:v>
      </x:c>
      <x:c r="E99" s="17" t="str">
        <x:v>Seattle, WA</x:v>
      </x:c>
      <x:c r="F99" s="17" t="str">
        <x:v>Yes</x:v>
      </x:c>
      <x:c r="G99" s="17" t="str">
        <x:v>More than $25M publicly announced</x:v>
      </x:c>
      <x:c r="H99" s="29" t="n">
        <x:v>25000000</x:v>
      </x:c>
      <x:c r="I99" s="17" t="n">
        <x:v>1</x:v>
      </x:c>
      <x:c r="J99" s="17" t="str">
        <x:v>Unknown</x:v>
      </x:c>
      <x:c r="K99" s="17" t="str">
        <x:v>Quiet Capital; Shine Capital; General Catalyst; Contrary; Mythos; Howard Lerman</x:v>
      </x:c>
      <x:c r="L99" s="17" t="str">
        <x:v>None known</x:v>
      </x:c>
    </x:row>
    <x:row r="100">
      <x:c r="A100" s="17" t="str">
        <x:v>Instachip</x:v>
      </x:c>
      <x:c r="B100" s="17" t="str">
        <x:v>Active</x:v>
      </x:c>
      <x:c r="C100" s="17" t="str">
        <x:v>Semiconductors</x:v>
      </x:c>
      <x:c r="D100" s="17" t="str">
        <x:v>AI chip design</x:v>
      </x:c>
      <x:c r="E100" s="17" t="str">
        <x:v>San Francisco, CA</x:v>
      </x:c>
      <x:c r="F100" s="17" t="str">
        <x:v>Yes</x:v>
      </x:c>
      <x:c r="G100" s="17" t="str">
        <x:v>Unknown</x:v>
      </x:c>
      <x:c r="H100" s="29" t="n">
        <x:v>0</x:v>
      </x:c>
      <x:c r="I100" s="17" t="n">
        <x:v>1</x:v>
      </x:c>
      <x:c r="J100" s="17" t="str">
        <x:v>Y Combinator W25</x:v>
      </x:c>
      <x:c r="K100" s="17" t="str">
        <x:v>Y Combinator</x:v>
      </x:c>
      <x:c r="L100" s="17" t="str">
        <x:v>None known</x:v>
      </x:c>
    </x:row>
    <x:row r="101">
      <x:c r="A101" s="17" t="str">
        <x:v>DeSo (formerly BitClout)</x:v>
      </x:c>
      <x:c r="B101" s="17" t="str">
        <x:v>Active</x:v>
      </x:c>
      <x:c r="C101" s="17" t="str">
        <x:v>Social</x:v>
      </x:c>
      <x:c r="D101" s="17" t="str">
        <x:v>Decentralized social blockchain</x:v>
      </x:c>
      <x:c r="E101" s="17" t="str">
        <x:v>Los Angeles, CA</x:v>
      </x:c>
      <x:c r="F101" s="17" t="str">
        <x:v>Yes</x:v>
      </x:c>
      <x:c r="G101" s="17" t="str">
        <x:v>At least $200M publicly announced</x:v>
      </x:c>
      <x:c r="H101" s="29" t="n">
        <x:v>200000000</x:v>
      </x:c>
      <x:c r="I101" s="17" t="n">
        <x:v>1</x:v>
      </x:c>
      <x:c r="J101" s="17" t="str">
        <x:v>None</x:v>
      </x:c>
      <x:c r="K101" s="17" t="str">
        <x:v>Andreessen Horowitz; Coinbase Ventures; Sequoia; Social Capital; Pantera</x:v>
      </x:c>
      <x:c r="L101" s="17" t="str">
        <x:v>None known</x:v>
      </x:c>
    </x:row>
    <x:row r="102">
      <x:c r="A102" s="17" t="str">
        <x:v>Tagged</x:v>
      </x:c>
      <x:c r="B102" s="17" t="str">
        <x:v>Acquired</x:v>
      </x:c>
      <x:c r="C102" s="17" t="str">
        <x:v>Social</x:v>
      </x:c>
      <x:c r="D102" s="17" t="str">
        <x:v>Social discovery</x:v>
      </x:c>
      <x:c r="E102" s="17" t="str">
        <x:v>San Francisco, CA</x:v>
      </x:c>
      <x:c r="F102" s="17" t="str">
        <x:v>Yes</x:v>
      </x:c>
      <x:c r="G102" s="17" t="str">
        <x:v>At least $8.5M publicly announced</x:v>
      </x:c>
      <x:c r="H102" s="29" t="n">
        <x:v>8500000</x:v>
      </x:c>
      <x:c r="I102" s="17" t="n">
        <x:v>1</x:v>
      </x:c>
      <x:c r="J102" s="17" t="str">
        <x:v>Unknown</x:v>
      </x:c>
      <x:c r="K102" s="17" t="str">
        <x:v>Mayfield; Lighthouse Capital; others</x:v>
      </x:c>
      <x:c r="L102" s="17" t="str">
        <x:v>Acquired for approximately $60M</x:v>
      </x:c>
    </x:row>
    <x:row r="103">
      <x:c r="A103" s="17" t="str">
        <x:v>1776</x:v>
      </x:c>
      <x:c r="B103" s="17" t="str">
        <x:v>Acquired</x:v>
      </x:c>
      <x:c r="C103" s="17" t="str">
        <x:v>Venture Capital</x:v>
      </x:c>
      <x:c r="D103" s="17" t="str">
        <x:v>Startup incubator</x:v>
      </x:c>
      <x:c r="E103" s="17" t="str">
        <x:v>Washington, DC</x:v>
      </x:c>
      <x:c r="F103" s="17" t="str">
        <x:v>Yes</x:v>
      </x:c>
      <x:c r="G103" s="17" t="str">
        <x:v>Unknown</x:v>
      </x:c>
      <x:c r="H103" s="29" t="n">
        <x:v>0</x:v>
      </x:c>
      <x:c r="I103" s="17" t="n">
        <x:v>1</x:v>
      </x:c>
      <x:c r="J103" s="17" t="str">
        <x:v>None</x:v>
      </x:c>
      <x:c r="K103" s="17" t="str">
        <x:v>Unknown</x:v>
      </x:c>
      <x:c r="L103" s="17" t="str">
        <x:v>Merged / acquired</x:v>
      </x:c>
    </x:row>
    <x:row r="104">
      <x:c r="A104" s="17" t="str">
        <x:v>Bass Investment</x:v>
      </x:c>
      <x:c r="B104" s="17" t="str">
        <x:v>Active</x:v>
      </x:c>
      <x:c r="C104" s="17" t="str">
        <x:v>Venture Capital</x:v>
      </x:c>
      <x:c r="D104" s="17" t="str">
        <x:v>Investment firm</x:v>
      </x:c>
      <x:c r="E104" s="17" t="str">
        <x:v>Seoul, South Korea</x:v>
      </x:c>
      <x:c r="F104" s="17" t="str">
        <x:v>Unknown</x:v>
      </x:c>
      <x:c r="G104" s="17" t="str">
        <x:v>Unknown</x:v>
      </x:c>
      <x:c r="H104" s="29" t="n">
        <x:v>0</x:v>
      </x:c>
      <x:c r="I104" s="17" t="n">
        <x:v>1</x:v>
      </x:c>
      <x:c r="J104" s="17" t="str">
        <x:v>Unknown</x:v>
      </x:c>
      <x:c r="K104" s="17" t="str">
        <x:v>Unknown</x:v>
      </x:c>
      <x:c r="L104" s="17" t="str">
        <x:v>None known</x:v>
      </x:c>
    </x:row>
    <x:row r="105">
      <x:c r="A105" s="17" t="str">
        <x:v>FACT Capital</x:v>
      </x:c>
      <x:c r="B105" s="17" t="str">
        <x:v>Active</x:v>
      </x:c>
      <x:c r="C105" s="17" t="str">
        <x:v>Venture Capital</x:v>
      </x:c>
      <x:c r="D105" s="17" t="str">
        <x:v>Investment firm</x:v>
      </x:c>
      <x:c r="E105" s="17" t="str">
        <x:v>Unknown</x:v>
      </x:c>
      <x:c r="F105" s="17" t="str">
        <x:v>Unknown</x:v>
      </x:c>
      <x:c r="G105" s="17" t="str">
        <x:v>Unknown</x:v>
      </x:c>
      <x:c r="H105" s="29" t="n">
        <x:v>0</x:v>
      </x:c>
      <x:c r="I105" s="17" t="n">
        <x:v>1</x:v>
      </x:c>
      <x:c r="J105" s="17" t="str">
        <x:v>Unknown</x:v>
      </x:c>
      <x:c r="K105" s="17" t="str">
        <x:v>Unknown</x:v>
      </x:c>
      <x:c r="L105" s="17" t="str">
        <x:v>None known</x:v>
      </x:c>
    </x:row>
    <x:row r="106">
      <x:c r="A106" s="17" t="str">
        <x:v>Fast Track Asia</x:v>
      </x:c>
      <x:c r="B106" s="17" t="str">
        <x:v>Active</x:v>
      </x:c>
      <x:c r="C106" s="17" t="str">
        <x:v>Venture Capital</x:v>
      </x:c>
      <x:c r="D106" s="17" t="str">
        <x:v>Startup studio</x:v>
      </x:c>
      <x:c r="E106" s="17" t="str">
        <x:v>Seoul, South Korea</x:v>
      </x:c>
      <x:c r="F106" s="17" t="str">
        <x:v>Yes</x:v>
      </x:c>
      <x:c r="G106" s="17" t="str">
        <x:v>Unknown</x:v>
      </x:c>
      <x:c r="H106" s="29" t="n">
        <x:v>0</x:v>
      </x:c>
      <x:c r="I106" s="17" t="n">
        <x:v>1</x:v>
      </x:c>
      <x:c r="J106" s="17" t="str">
        <x:v>Unknown</x:v>
      </x:c>
      <x:c r="K106" s="17" t="str">
        <x:v>Unknown</x:v>
      </x:c>
      <x:c r="L106" s="17" t="str">
        <x:v>None known</x:v>
      </x:c>
    </x:row>
    <x:row r="107">
      <x:c r="A107" s="17" t="str">
        <x:v>HMC INQ</x:v>
      </x:c>
      <x:c r="B107" s="17" t="str">
        <x:v>Dormant</x:v>
      </x:c>
      <x:c r="C107" s="17" t="str">
        <x:v>Venture Capital</x:v>
      </x:c>
      <x:c r="D107" s="17" t="str">
        <x:v>Angel investing</x:v>
      </x:c>
      <x:c r="E107" s="17" t="str">
        <x:v>Los Angeles, CA</x:v>
      </x:c>
      <x:c r="F107" s="17" t="str">
        <x:v>No</x:v>
      </x:c>
      <x:c r="G107" s="17" t="str">
        <x:v>Unknown</x:v>
      </x:c>
      <x:c r="H107" s="29" t="n">
        <x:v>0</x:v>
      </x:c>
      <x:c r="I107" s="17" t="n">
        <x:v>1</x:v>
      </x:c>
      <x:c r="J107" s="17" t="str">
        <x:v>None</x:v>
      </x:c>
      <x:c r="K107" s="17" t="str">
        <x:v>Unknown</x:v>
      </x:c>
      <x:c r="L107" s="17" t="str">
        <x:v>Dormant / status unclear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e2fa43e0e7147e4"/>
  </x:tableParts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4" hidden="0" customWidth="1"/>
    <x:col min="2" max="2" width="32" hidden="0" customWidth="1"/>
    <x:col min="3" max="3" width="48" hidden="0" customWidth="1"/>
    <x:col min="4" max="4" width="28" hidden="0" customWidth="1"/>
    <x:col min="5" max="5" width="44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Unverified Leads</x:v>
      </x:c>
      <x:c r="B1" s="4"/>
      <x:c r="C1" s="4"/>
      <x:c r="D1" s="4"/>
      <x:c r="E1" s="4"/>
      <x:c r="F1" s="4"/>
      <x:c r="G1" s="4"/>
      <x:c r="H1" s="4"/>
    </x:row>
    <x:row r="2" ht="28" customHeight="1">
      <x:c r="A2" s="7" t="str">
        <x:v>Confidence 1–2 only. These people are not included in the master verified database until both TJHSST and founder status meet the evidence threshold.</x:v>
      </x:c>
      <x:c r="B2" s="7"/>
      <x:c r="C2" s="7"/>
      <x:c r="D2" s="7"/>
      <x:c r="E2" s="7"/>
      <x:c r="F2" s="7"/>
      <x:c r="G2" s="7"/>
      <x:c r="H2" s="7"/>
    </x:row>
    <x:row r="3" ht="32" customHeight="1">
      <x:c r="A3" s="13" t="str">
        <x:v>name</x:v>
      </x:c>
      <x:c r="B3" s="13" t="str">
        <x:v>suspected_company</x:v>
      </x:c>
      <x:c r="C3" s="13" t="str">
        <x:v>suspected_tj_connection</x:v>
      </x:c>
      <x:c r="D3" s="13" t="str">
        <x:v>discovery_source</x:v>
      </x:c>
      <x:c r="E3" s="13" t="str">
        <x:v>what_evidence_is_missing</x:v>
      </x:c>
      <x:c r="F3" s="13" t="str">
        <x:v>urls_already_checked</x:v>
      </x:c>
      <x:c r="G3" s="13" t="str">
        <x:v>confidence_score</x:v>
      </x:c>
      <x:c r="H3" s="13" t="str">
        <x:v>notes</x:v>
      </x:c>
    </x:row>
    <x:row r="4" ht="44" customHeight="1">
      <x:c r="A4" s="17" t="str">
        <x:v>Jessica McKellar</x:v>
      </x:c>
      <x:c r="B4" s="17" t="str">
        <x:v>Ksplice; Zulip; Pilot</x:v>
      </x:c>
      <x:c r="C4" s="17" t="str">
        <x:v>Founder status is well documented; public TJHSST attendance evidence was not located.</x:v>
      </x:c>
      <x:c r="D4" s="17" t="str">
        <x:v>Jeff Arnold network expansion</x:v>
      </x:c>
      <x:c r="E4" s="17" t="str">
        <x:v>Credible TJHSST attendance source</x:v>
      </x:c>
      <x:c r="F4" s="17" t="str">
        <x:v>https://pilot.com/blog/best-bookkeeping-service-pilot-founding-story; https://techcrunch.com/2014/03/17/dropbox-acquires-zulip-a-stealthy-workplace-chat-solution-still-in-private-beta/</x:v>
      </x:c>
      <x:c r="G4" s="17" t="n">
        <x:v>2</x:v>
      </x:c>
      <x:c r="H4" s="17" t="str">
        <x:v>Do not infer TJ from her co-founders.</x:v>
      </x:c>
    </x:row>
    <x:row r="5" ht="44" customHeight="1">
      <x:c r="A5" s="17" t="str">
        <x:v>Nick Lavezzo</x:v>
      </x:c>
      <x:c r="B5" s="17" t="str">
        <x:v>FoundationDB</x:v>
      </x:c>
      <x:c r="C5" s="17" t="str">
        <x:v>Co-founder status is reported; possible TJ connection arose through the FoundationDB team.</x:v>
      </x:c>
      <x:c r="D5" s="17" t="str">
        <x:v>David Rosenthal network expansion</x:v>
      </x:c>
      <x:c r="E5" s="17" t="str">
        <x:v>Explicit TJHSST attendance source</x:v>
      </x:c>
      <x:c r="F5" s="17" t="str">
        <x:v>https://www.washingtonpost.com/business/economy/value-added-computer-skills-lead-tj-alum-to-found-his-own-company/2012/03/09/gIQAosDt5R_story.html</x:v>
      </x:c>
      <x:c r="G5" s="17" t="n">
        <x:v>2</x:v>
      </x:c>
      <x:c r="H5" s="17" t="str">
        <x:v>The Washington Post passage clearly establishes Rosenthal and Scherer, not Lavezzo.</x:v>
      </x:c>
    </x:row>
    <x:row r="6" ht="44" customHeight="1">
      <x:c r="A6" s="17" t="str">
        <x:v>Yael Kaufmann</x:v>
      </x:c>
      <x:c r="B6" s="17" t="str">
        <x:v>Learn In</x:v>
      </x:c>
      <x:c r="C6" s="17" t="str">
        <x:v>Founder status is public; weak profile results suggest a possible TJ connection.</x:v>
      </x:c>
      <x:c r="D6" s="17" t="str">
        <x:v>LinkedIn/biography search</x:v>
      </x:c>
      <x:c r="E6" s="17" t="str">
        <x:v>Independent, credible TJHSST source</x:v>
      </x:c>
      <x:c r="F6" s="17" t="str">
        <x:v>Public profile search; company biographies</x:v>
      </x:c>
      <x:c r="G6" s="17" t="n">
        <x:v>1</x:v>
      </x:c>
      <x:c r="H6" s="17" t="str">
        <x:v>Low-quality leads intentionally not promoted.</x:v>
      </x:c>
    </x:row>
    <x:row r="7" ht="44" customHeight="1">
      <x:c r="A7" s="17" t="str">
        <x:v>Rhian Horgan</x:v>
      </x:c>
      <x:c r="B7" s="17" t="str">
        <x:v>Kindur</x:v>
      </x:c>
      <x:c r="C7" s="17" t="str">
        <x:v>Founder status is public; weak results suggested a possible TJ connection.</x:v>
      </x:c>
      <x:c r="D7" s="17" t="str">
        <x:v>LinkedIn/biography search</x:v>
      </x:c>
      <x:c r="E7" s="17" t="str">
        <x:v>Independent, credible TJHSST source</x:v>
      </x:c>
      <x:c r="F7" s="17" t="str">
        <x:v>Public profile search; company biographies</x:v>
      </x:c>
      <x:c r="G7" s="17" t="n">
        <x:v>1</x:v>
      </x:c>
      <x:c r="H7" s="17" t="str">
        <x:v>Low-quality leads intentionally not promoted.</x:v>
      </x:c>
    </x:row>
    <x:row r="8" ht="44" customHeight="1">
      <x:c r="A8" s="17" t="str">
        <x:v>Babak Nivi</x:v>
      </x:c>
      <x:c r="B8" s="17" t="str">
        <x:v>AngelList; Venture Hacks</x:v>
      </x:c>
      <x:c r="C8" s="17" t="str">
        <x:v>Founder status is public; no credible TJ evidence located.</x:v>
      </x:c>
      <x:c r="D8" s="17" t="str">
        <x:v>Investment-firm ecosystem search</x:v>
      </x:c>
      <x:c r="E8" s="17" t="str">
        <x:v>Credible TJHSST attendance source</x:v>
      </x:c>
      <x:c r="F8" s="17" t="str">
        <x:v>AngelList biographies; TJ keyword searches</x:v>
      </x:c>
      <x:c r="G8" s="17" t="n">
        <x:v>1</x:v>
      </x:c>
      <x:c r="H8" s="17" t="str">
        <x:v>Northern Virginia ties are not sufficient.</x:v>
      </x:c>
    </x:row>
    <x:row r="9" ht="44" customHeight="1">
      <x:c r="A9" s="17" t="str">
        <x:v>Sweta Karlekar</x:v>
      </x:c>
      <x:c r="B9" s="17" t="str">
        <x:v>Club Luminous</x:v>
      </x:c>
      <x:c r="C9" s="17" t="str">
        <x:v>Public professional results describe the nonprofit; TJ connection not independently verified.</x:v>
      </x:c>
      <x:c r="D9" s="17" t="str">
        <x:v>TJ network expansion</x:v>
      </x:c>
      <x:c r="E9" s="17" t="str">
        <x:v>Explicit TJHSST evidence and stronger founder evidence</x:v>
      </x:c>
      <x:c r="F9" s="17" t="str">
        <x:v>LinkedIn profile results</x:v>
      </x:c>
      <x:c r="G9" s="17" t="n">
        <x:v>2</x:v>
      </x:c>
      <x:c r="H9" s="17" t="str">
        <x:v>Keep out of verified database pending primary evidence.</x:v>
      </x:c>
    </x:row>
    <x:row r="10" ht="44" customHeight="1">
      <x:c r="A10" s="17" t="str">
        <x:v>Megan Ganley</x:v>
      </x:c>
      <x:c r="B10" s="17" t="str">
        <x:v>Lost and ReFound</x:v>
      </x:c>
      <x:c r="C10" s="17" t="str">
        <x:v>Public profile suggests founder activity and a possible TJ link.</x:v>
      </x:c>
      <x:c r="D10" s="17" t="str">
        <x:v>TJ network expansion</x:v>
      </x:c>
      <x:c r="E10" s="17" t="str">
        <x:v>Explicit TJHSST evidence and organization source</x:v>
      </x:c>
      <x:c r="F10" s="17" t="str">
        <x:v>LinkedIn profile results</x:v>
      </x:c>
      <x:c r="G10" s="17" t="n">
        <x:v>1</x:v>
      </x:c>
      <x:c r="H10" s="17" t="str">
        <x:v>Insufficient source quality.</x:v>
      </x:c>
    </x:row>
    <x:row r="11" ht="44" customHeight="1">
      <x:c r="A11" s="17" t="str">
        <x:v>Nihal Gorthi</x:v>
      </x:c>
      <x:c r="B11" s="17" t="str">
        <x:v>US School Cubing League</x:v>
      </x:c>
      <x:c r="C11" s="17" t="str">
        <x:v>Organization leadership is public; founder and TJ relationship require stronger verification.</x:v>
      </x:c>
      <x:c r="D11" s="17" t="str">
        <x:v>Young-founder search</x:v>
      </x:c>
      <x:c r="E11" s="17" t="str">
        <x:v>Explicit TJHSST evidence and founder-title evidence</x:v>
      </x:c>
      <x:c r="F11" s="17" t="str">
        <x:v>https://www.ussclcubing.org/about</x:v>
      </x:c>
      <x:c r="G11" s="17" t="n">
        <x:v>2</x:v>
      </x:c>
      <x:c r="H11" s="17" t="str">
        <x:v>Possible student founder.</x:v>
      </x:c>
    </x:row>
    <x:row r="12" ht="44" customHeight="1">
      <x:c r="A12" s="17" t="str">
        <x:v>Girls Who Math founding team</x:v>
      </x:c>
      <x:c r="B12" s="17" t="str">
        <x:v>Girls Who Math</x:v>
      </x:c>
      <x:c r="C12" s="17" t="str">
        <x:v>The organization is associated with Northern Virginia student founders.</x:v>
      </x:c>
      <x:c r="D12" s="17" t="str">
        <x:v>Young-founder search</x:v>
      </x:c>
      <x:c r="E12" s="17" t="str">
        <x:v>Named founder(s) plus explicit TJHSST evidence</x:v>
      </x:c>
      <x:c r="F12" s="17" t="str">
        <x:v>https://girlswhomath.net/team</x:v>
      </x:c>
      <x:c r="G12" s="17" t="n">
        <x:v>1</x:v>
      </x:c>
      <x:c r="H12" s="17" t="str">
        <x:v>No person-level TJ verification found.</x:v>
      </x:c>
    </x:row>
    <x:row r="13" ht="44" customHeight="1">
      <x:c r="A13" s="17" t="str">
        <x:v>Bryan Guido Hassin</x:v>
      </x:c>
      <x:c r="B13" s="17" t="str">
        <x:v>DexMat</x:v>
      </x:c>
      <x:c r="C13" s="17" t="str">
        <x:v>Some secondary profiles call Hassin a co-founder, while current official materials emphasize other founders.</x:v>
      </x:c>
      <x:c r="D13" s="17" t="str">
        <x:v>Bryan Hassin network expansion</x:v>
      </x:c>
      <x:c r="E13" s="17" t="str">
        <x:v>Primary founder-status evidence resolving the conflict</x:v>
      </x:c>
      <x:c r="F13" s="17" t="str">
        <x:v>Rice biography; DexMat team materials</x:v>
      </x:c>
      <x:c r="G13" s="17" t="n">
        <x:v>2</x:v>
      </x:c>
      <x:c r="H13" s="17" t="str">
        <x:v>Do not assume founder status from CEO role.</x:v>
      </x:c>
    </x:row>
    <x:row r="14" ht="44" customHeight="1">
      <x:c r="A14" s="17" t="str">
        <x:v>Vaibhav Sharma</x:v>
      </x:c>
      <x:c r="B14" s="17" t="str">
        <x:v>Vision4Science</x:v>
      </x:c>
      <x:c r="C14" s="17" t="str">
        <x:v>FCPS newsletter surfaced the organization and a TJ-affiliated student.</x:v>
      </x:c>
      <x:c r="D14" s="17" t="str">
        <x:v>TJ/FCPS publication</x:v>
      </x:c>
      <x:c r="E14" s="17" t="str">
        <x:v>Clear founder title and stable organization source</x:v>
      </x:c>
      <x:c r="F14" s="17" t="str">
        <x:v>https://content.govdelivery.com/accounts/VAEDUFCPS/bulletins/1f50821</x:v>
      </x:c>
      <x:c r="G14" s="17" t="n">
        <x:v>2</x:v>
      </x:c>
      <x:c r="H14" s="17" t="str">
        <x:v>Promising student-founder lead.</x:v>
      </x:c>
    </x:row>
    <x:row r="15" ht="44" customHeight="1">
      <x:c r="A15" s="17" t="str">
        <x:v>Justin Chen</x:v>
      </x:c>
      <x:c r="B15" s="17" t="str">
        <x:v>Mass General cross-cultural health center</x:v>
      </x:c>
      <x:c r="C15" s="17" t="str">
        <x:v>FCPS alumni coverage says Chen helped create a center; entrepreneurial-founder fit is unclear.</x:v>
      </x:c>
      <x:c r="D15" s="17" t="str">
        <x:v>TJ/FCPS publication</x:v>
      </x:c>
      <x:c r="E15" s="17" t="str">
        <x:v>Evidence that this is a distinct founded organization with startup-like characteristics</x:v>
      </x:c>
      <x:c r="F15" s="17" t="str">
        <x:v>https://content.govdelivery.com/accounts/VAEDUFCPS/bulletins/18a11b7</x:v>
      </x:c>
      <x:c r="G15" s="17" t="n">
        <x:v>2</x:v>
      </x:c>
      <x:c r="H15" s="17" t="str">
        <x:v>Excluded from main table pending scope fit.</x:v>
      </x:c>
    </x:row>
  </x:sheetData>
  <x:mergeCells>
    <x:mergeCell ref="A1:H1"/>
    <x:mergeCell ref="A2:H2"/>
  </x:mergeCells>
  <x:conditionalFormatting sqref="G4:G15">
    <x:cfRule type="cellIs" dxfId="8" priority="1" operator="lessThanOrEqual">
      <x:formula>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d6e74eec544bbe"/>
  </x:tableParts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5" hidden="0" customWidth="1"/>
    <x:col min="2" max="2" width="55" hidden="0" customWidth="1"/>
    <x:col min="3" max="3" width="28" hidden="0" customWidth="1"/>
    <x:col min="4" max="4" width="52" hidden="0" customWidth="1"/>
    <x:col min="5" max="5" width="45" hidden="0" customWidth="1"/>
  </x:cols>
  <x:sheetData>
    <x:row r="1" ht="30" customHeight="1">
      <x:c r="A1" s="4" t="str">
        <x:v>Rejected Candidates</x:v>
      </x:c>
      <x:c r="B1" s="4"/>
      <x:c r="C1" s="4"/>
      <x:c r="D1" s="4"/>
      <x:c r="E1" s="4"/>
    </x:row>
    <x:row r="2" ht="28" customHeight="1">
      <x:c r="A2" s="7" t="str">
        <x:v>Investigated false positives and scope exclusions. Preserved to avoid re-researching the same leads.</x:v>
      </x:c>
      <x:c r="B2" s="7"/>
      <x:c r="C2" s="7"/>
      <x:c r="D2" s="7"/>
      <x:c r="E2" s="7"/>
    </x:row>
    <x:row r="3" ht="32" customHeight="1">
      <x:c r="A3" s="13" t="str">
        <x:v>name</x:v>
      </x:c>
      <x:c r="B3" s="13" t="str">
        <x:v>reason_excluded</x:v>
      </x:c>
      <x:c r="C3" s="13" t="str">
        <x:v>investigated_company</x:v>
      </x:c>
      <x:c r="D3" s="13" t="str">
        <x:v>evidence_urls</x:v>
      </x:c>
      <x:c r="E3" s="13" t="str">
        <x:v>notes</x:v>
      </x:c>
    </x:row>
    <x:row r="4" ht="44" customHeight="1">
      <x:c r="A4" s="17" t="str">
        <x:v>Anders Kaseorg</x:v>
      </x:c>
      <x:c r="B4" s="17" t="str">
        <x:v>Wrongly identified as a TJ graduate in one community article; an AMS biography says he was homeschooled in Charlotte, North Carolina.</x:v>
      </x:c>
      <x:c r="C4" s="17" t="str">
        <x:v>Ksplice</x:v>
      </x:c>
      <x:c r="D4" s="17" t="str">
        <x:v>https://www.ams.org/journals/notices/200810/200810-full-issue.pdf; https://www.tjhsst.network/news/ksplice-oracle-acquisition</x:v>
      </x:c>
      <x:c r="E4" s="17" t="str">
        <x:v>Founder status is real, but TJHSST claim is contradicted by a stronger biographical source.</x:v>
      </x:c>
    </x:row>
    <x:row r="5" ht="44" customHeight="1">
      <x:c r="A5" s="17" t="str">
        <x:v>Baiju Bhatt</x:v>
      </x:c>
      <x:c r="B5" s="17" t="str">
        <x:v>No credible TJHSST evidence; public biographies place his upbringing and schooling in Hampton Roads, Virginia.</x:v>
      </x:c>
      <x:c r="C5" s="17" t="str">
        <x:v>Robinhood</x:v>
      </x:c>
      <x:c r="D5" s="17" t="str">
        <x:v>Public Robinhood and biography searches</x:v>
      </x:c>
      <x:c r="E5" s="17" t="str">
        <x:v>Do not infer TJ from co-founder Vlad Tenev.</x:v>
      </x:c>
    </x:row>
    <x:row r="6" ht="44" customHeight="1">
      <x:c r="A6" s="17" t="str">
        <x:v>John Beutner</x:v>
      </x:c>
      <x:c r="B6" s="17" t="str">
        <x:v>TJ alumnus who helped build Roam, but no credible source calls him a founder.</x:v>
      </x:c>
      <x:c r="C6" s="17" t="str">
        <x:v>Roam</x:v>
      </x:c>
      <x:c r="D6" s="17" t="str">
        <x:v>https://www.linkedin.com/posts/tjpartnershipfund_tjhsst-invention-alert-seven-tjhsst-alums-activity-7245465170574028800-9ir2</x:v>
      </x:c>
      <x:c r="E6" s="17" t="str">
        <x:v>Employee/builder is not founder.</x:v>
      </x:c>
    </x:row>
    <x:row r="7" ht="44" customHeight="1">
      <x:c r="A7" s="17" t="str">
        <x:v>Theo Ouzhinski</x:v>
      </x:c>
      <x:c r="B7" s="17" t="str">
        <x:v>TJ alumnus who helped build Roam, but no credible source calls him a founder.</x:v>
      </x:c>
      <x:c r="C7" s="17" t="str">
        <x:v>Roam</x:v>
      </x:c>
      <x:c r="D7" s="17" t="str">
        <x:v>https://www.linkedin.com/posts/tjpartnershipfund_tjhsst-invention-alert-seven-tjhsst-alums-activity-7245465170574028800-9ir2</x:v>
      </x:c>
      <x:c r="E7" s="17" t="str">
        <x:v>Employee/builder is not founder.</x:v>
      </x:c>
    </x:row>
    <x:row r="8" ht="44" customHeight="1">
      <x:c r="A8" s="17" t="str">
        <x:v>Jack Duvall</x:v>
      </x:c>
      <x:c r="B8" s="17" t="str">
        <x:v>TJ alumnus who helped build Roam, but no credible source calls him a founder.</x:v>
      </x:c>
      <x:c r="C8" s="17" t="str">
        <x:v>Roam</x:v>
      </x:c>
      <x:c r="D8" s="17" t="str">
        <x:v>https://www.linkedin.com/posts/tjpartnershipfund_tjhsst-invention-alert-seven-tjhsst-alums-activity-7245465170574028800-9ir2</x:v>
      </x:c>
      <x:c r="E8" s="17" t="str">
        <x:v>Employee/builder is not founder.</x:v>
      </x:c>
    </x:row>
    <x:row r="9" ht="44" customHeight="1">
      <x:c r="A9" s="17" t="str">
        <x:v>Other Hallway student team members</x:v>
      </x:c>
      <x:c r="B9" s="17" t="str">
        <x:v>Contemporaneous coverage calls them co-workers or team members, not founders.</x:v>
      </x:c>
      <x:c r="C9" s="17" t="str">
        <x:v>Hallway</x:v>
      </x:c>
      <x:c r="D9" s="17" t="str">
        <x:v>https://www.washingtonpost.com/business/capitalbusiness/at-hallway-high-school-students-try-to-help-schools-communicate/2012/09/14/47b849b2-fc1a-11e1-a31e-804fccb658f9_story.html</x:v>
      </x:c>
      <x:c r="E9" s="17" t="str">
        <x:v>Only Evan Burfield and Sean McElrath met the founder-evidence threshold.</x:v>
      </x:c>
    </x:row>
    <x:row r="10" ht="44" customHeight="1">
      <x:c r="A10" s="17" t="str">
        <x:v>Brian Distelburger</x:v>
      </x:c>
      <x:c r="B10" s="17" t="str">
        <x:v>Yext co-founder status is documented, but no credible TJHSST attendance evidence was located.</x:v>
      </x:c>
      <x:c r="C10" s="17" t="str">
        <x:v>Yext</x:v>
      </x:c>
      <x:c r="D10" s="17" t="str">
        <x:v>Yext biographies; TJ keyword searches</x:v>
      </x:c>
      <x:c r="E10" s="17" t="str">
        <x:v>Do not infer TJ from other Yext founders.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7ae5e0994f549a0"/>
  </x:tableParts>
</x:worksheet>
</file>

<file path=xl/worksheets/sheet6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0" hidden="0" customWidth="1"/>
    <x:col min="2" max="2" width="24" hidden="0" customWidth="1"/>
    <x:col min="3" max="3" width="55" hidden="0" customWidth="1"/>
    <x:col min="4" max="4" width="24" hidden="0" customWidth="1"/>
    <x:col min="5" max="5" width="60" hidden="0" customWidth="1"/>
    <x:col min="6" max="6" width="14" hidden="0" customWidth="1"/>
    <x:col min="7" max="7" width="38" hidden="0" customWidth="1"/>
  </x:cols>
  <x:sheetData>
    <x:row r="1" ht="30" customHeight="1">
      <x:c r="A1" s="4" t="str">
        <x:v>Sources</x:v>
      </x:c>
      <x:c r="B1" s="4"/>
      <x:c r="C1" s="4"/>
      <x:c r="D1" s="4"/>
      <x:c r="E1" s="4"/>
      <x:c r="F1" s="4"/>
      <x:c r="G1" s="4"/>
    </x:row>
    <x:row r="2" ht="28" customHeight="1">
      <x:c r="A2" s="7" t="str">
        <x:v>Deduplicated public URLs used for verification, corroboration, discovery or exclusion. “source_title” uses the host name for compactness.</x:v>
      </x:c>
      <x:c r="B2" s="7"/>
      <x:c r="C2" s="7"/>
      <x:c r="D2" s="7"/>
      <x:c r="E2" s="7"/>
      <x:c r="F2" s="7"/>
      <x:c r="G2" s="7"/>
    </x:row>
    <x:row r="3" ht="32" customHeight="1">
      <x:c r="A3" s="13" t="str">
        <x:v>source_id</x:v>
      </x:c>
      <x:c r="B3" s="13" t="str">
        <x:v>source_title</x:v>
      </x:c>
      <x:c r="C3" s="13" t="str">
        <x:v>source_url</x:v>
      </x:c>
      <x:c r="D3" s="13" t="str">
        <x:v>source_type</x:v>
      </x:c>
      <x:c r="E3" s="13" t="str">
        <x:v>claim_supported</x:v>
      </x:c>
      <x:c r="F3" s="13" t="str">
        <x:v>accessed_date</x:v>
      </x:c>
      <x:c r="G3" s="13" t="str">
        <x:v>credibility_notes</x:v>
      </x:c>
    </x:row>
    <x:row r="4" ht="44" customHeight="1">
      <x:c r="A4" s="17" t="str">
        <x:v>S001</x:v>
      </x:c>
      <x:c r="B4" s="17" t="str">
        <x:v>tjhsst.network</x:v>
      </x:c>
      <x:c r="C4" s="17" t="str">
        <x:v>https://www.tjhsst.network/alumni</x:v>
      </x:c>
      <x:c r="D4" s="17" t="str">
        <x:v>TJ attendance source</x:v>
      </x:c>
      <x:c r="E4" s="17" t="str">
        <x:v>Nader Al-Naji: TJHSST attendance/year; Nader Al-Naji: lead provenance; Waseem Daher: TJHSST attendance/year; Chris Arraya: TJHSST attendance/year; Chris Arraya: lead provenance; Zarif Azher: TJHSST attendance/year; Zarif Azher: lead provenance; Zac Baker: TJHSST attendance/year; Zac Baker: lead provenance; Jack Blair: TJHSST attendance/year; Jack Blair: lead provenance; Riya Dev: TJHSST attendance/year; Riya Dev: lead provenance; Nathan Foss: TJHSST attendance/year; Nathan Foss: lead provenance; Arya Grayeli: TJHSST attendance/year; Arya Grayeli: lead provenance; Ron Nachum: TJHSST attendance/year; Ron Nachum: lead provenance; Pranav Ravella: TJHSST attendance/year; Pranav Ravella: lead provenance; Lydia Hylton: TJHSST attendance/year; Lydia Hylton: lead provenance; Priya Krishnan: TJHSST attendance/year; Priya Krishnan: lead provenance; Jeffery Liu: TJHSST attendance/year; Jeffery Liu: lead provenance; Brendan McCord: TJHSST attendance/year; Brendan McCord: lead provenance; Kathryn Minshew: TJHSST attendance/year; Kathryn Minshew: lead provenance; Rohan Kalahasty: TJHSST attendance/year; Rohan Kalahasty: lead provenance; Sritan Motati: TJHSST attendance/year; Sritan Motati: lead provenance; Tahsin Zaman: TJHSST attendance/year; Tahsin Zaman: lead provenance; Brian Zhou: TJHSST attendance/year; Brian Zhou: lead provenance; Akash Raju: TJHSST attendance/year; Conor Russomanno: lead provenance; Vlad Tenev: TJHSST attendance/year; Vlad Tenev: lead provenance; Greg Tseng: TJHSST attendance/year; Greg Tseng: lead provenance; Geoffrey von Maltzahn: TJHSST attendance/year; Geoffrey von Maltzahn: lead provenance; Charlie Wu: TJHSST attendance/year; Charlie Wu: lead provenance; Sathvik Redrouthu: TJHSST attendance/year; Sathvik Redrouthu: lead provenance; Darius Kazemi: TJHSST attendance/year; Darius Kazemi: lead provenance; Kavya Kopparapu: TJHSST attendance/year; Kavya Kopparapu: lead provenance; Danny Lee: TJHSST attendance/year; Danny Lee: lead provenance; Anthony Myint: lead provenance; Bob Bland: lead provenance; Kevin Cao: lead provenance; Rohith Yelisetty: lead provenance; Tanush Kallem: lead provenance; Adithiya Balaguru: lead provenance; Arnav Bhalla: lead provenance; Anirudh Mantha: lead provenance</x:v>
      </x:c>
      <x:c r="F4" s="30" t="str">
        <x:v>2026-09-17</x:v>
      </x:c>
      <x:c r="G4" s="17" t="str"/>
    </x:row>
    <x:row r="5" ht="44" customHeight="1">
      <x:c r="A5" s="17" t="str">
        <x:v>S002</x:v>
      </x:c>
      <x:c r="B5" s="17" t="str">
        <x:v>tjhsst.network</x:v>
      </x:c>
      <x:c r="C5" s="17" t="str">
        <x:v>https://www.tjhsst.network/companies/basis</x:v>
      </x:c>
      <x:c r="D5" s="17" t="str">
        <x:v>Founder source</x:v>
      </x:c>
      <x:c r="E5" s="17" t="str">
        <x:v>Nader Al-Naji: Basis founder status</x:v>
      </x:c>
      <x:c r="F5" s="30" t="str">
        <x:v>2026-09-17</x:v>
      </x:c>
      <x:c r="G5" s="17" t="str"/>
    </x:row>
    <x:row r="6" ht="44" customHeight="1">
      <x:c r="A6" s="17" t="str">
        <x:v>S003</x:v>
      </x:c>
      <x:c r="B6" s="17" t="str">
        <x:v>theorg.com</x:v>
      </x:c>
      <x:c r="C6" s="17" t="str">
        <x:v>https://theorg.com/org/bitclout/org-chart/nader-al-naji</x:v>
      </x:c>
      <x:c r="D6" s="17" t="str">
        <x:v>Founder source</x:v>
      </x:c>
      <x:c r="E6" s="17" t="str">
        <x:v>Nader Al-Naji: DeSo (formerly BitClout) founder status</x:v>
      </x:c>
      <x:c r="F6" s="30" t="str">
        <x:v>2026-09-17</x:v>
      </x:c>
      <x:c r="G6" s="17" t="str"/>
    </x:row>
    <x:row r="7" ht="44" customHeight="1">
      <x:c r="A7" s="17" t="str">
        <x:v>S004</x:v>
      </x:c>
      <x:c r="B7" s="17" t="str">
        <x:v>theblock.co</x:v>
      </x:c>
      <x:c r="C7" s="17" t="str">
        <x:v>https://www.theblock.co/post/118614/bitclout-deso-200-million-funding-round</x:v>
      </x:c>
      <x:c r="D7" s="17" t="str">
        <x:v>Additional corroboration</x:v>
      </x:c>
      <x:c r="E7" s="17" t="str">
        <x:v>Nader Al-Naji / DeSo (formerly BitClout): additional facts</x:v>
      </x:c>
      <x:c r="F7" s="30" t="str">
        <x:v>2026-09-17</x:v>
      </x:c>
      <x:c r="G7" s="17" t="str"/>
    </x:row>
    <x:row r="8" ht="44" customHeight="1">
      <x:c r="A8" s="17" t="str">
        <x:v>S005</x:v>
      </x:c>
      <x:c r="B8" s="17" t="str">
        <x:v>m.connectionnewspapers.com</x:v>
      </x:c>
      <x:c r="C8" s="17" t="str">
        <x:v>https://m.connectionnewspapers.com/news/2003/apr/16/tj-students-computerize-cappies-voting/</x:v>
      </x:c>
      <x:c r="D8" s="17" t="str">
        <x:v>TJ attendance source</x:v>
      </x:c>
      <x:c r="E8" s="17" t="str">
        <x:v>Jeff Arnold: TJHSST attendance/year; Tim Abbott: TJHSST attendance/year</x:v>
      </x:c>
      <x:c r="F8" s="30" t="str">
        <x:v>2026-09-17</x:v>
      </x:c>
      <x:c r="G8" s="17" t="str"/>
    </x:row>
    <x:row r="9" ht="44" customHeight="1">
      <x:c r="A9" s="17" t="str">
        <x:v>S006</x:v>
      </x:c>
      <x:c r="B9" s="17" t="str">
        <x:v>pilot.com</x:v>
      </x:c>
      <x:c r="C9" s="17" t="str">
        <x:v>https://pilot.com/blog/best-bookkeeping-service-pilot-founding-story</x:v>
      </x:c>
      <x:c r="D9" s="17" t="str">
        <x:v>Founder source</x:v>
      </x:c>
      <x:c r="E9" s="17" t="str">
        <x:v>Jeff Arnold: Ksplice founder status; Tim Abbott: Ksplice founder status; Tim Abbott: lead provenance; Waseem Daher: Ksplice founder status; Waseem Daher: lead provenance; Jeff Arnold: Pilot founder status; Waseem Daher: Pilot founder status; Jessica McKellar: unverified lead review</x:v>
      </x:c>
      <x:c r="F9" s="30" t="str">
        <x:v>2026-09-17</x:v>
      </x:c>
      <x:c r="G9" s="17" t="str"/>
    </x:row>
    <x:row r="10" ht="44" customHeight="1">
      <x:c r="A10" s="17" t="str">
        <x:v>S007</x:v>
      </x:c>
      <x:c r="B10" s="17" t="str">
        <x:v>tjhsst.network</x:v>
      </x:c>
      <x:c r="C10" s="17" t="str">
        <x:v>https://www.tjhsst.network/news/ksplice-oracle-acquisition</x:v>
      </x:c>
      <x:c r="D10" s="17" t="str">
        <x:v>Additional corroboration</x:v>
      </x:c>
      <x:c r="E10" s="17" t="str">
        <x:v>Jeff Arnold / Ksplice: additional facts; Tim Abbott / Ksplice: additional facts; Waseem Daher / Ksplice: additional facts; Anders Kaseorg: exclusion rationale</x:v>
      </x:c>
      <x:c r="F10" s="30" t="str">
        <x:v>2026-09-17</x:v>
      </x:c>
      <x:c r="G10" s="17" t="str"/>
    </x:row>
    <x:row r="11" ht="44" customHeight="1">
      <x:c r="A11" s="17" t="str">
        <x:v>S008</x:v>
      </x:c>
      <x:c r="B11" s="17" t="str">
        <x:v>linkedin.com</x:v>
      </x:c>
      <x:c r="C11" s="17" t="str">
        <x:v>https://www.linkedin.com/posts/howardlerman_i-love-all-founders-but-my-fellow-thomas-activity-7117608482018598912-19gQ</x:v>
      </x:c>
      <x:c r="D11" s="17" t="str">
        <x:v>Discovery source</x:v>
      </x:c>
      <x:c r="E11" s="17" t="str">
        <x:v>Jeff Arnold: lead provenance</x:v>
      </x:c>
      <x:c r="F11" s="30" t="str">
        <x:v>2026-09-17</x:v>
      </x:c>
      <x:c r="G11" s="17" t="str"/>
    </x:row>
    <x:row r="12" ht="44" customHeight="1">
      <x:c r="A12" s="17" t="str">
        <x:v>S009</x:v>
      </x:c>
      <x:c r="B12" s="17" t="str">
        <x:v>zulip.com</x:v>
      </x:c>
      <x:c r="C12" s="17" t="str">
        <x:v>https://zulip.com/history/</x:v>
      </x:c>
      <x:c r="D12" s="17" t="str">
        <x:v>Founder source</x:v>
      </x:c>
      <x:c r="E12" s="17" t="str">
        <x:v>Jeff Arnold: Zulip founder status; Tim Abbott: Zulip founder status; Waseem Daher: Zulip founder status</x:v>
      </x:c>
      <x:c r="F12" s="30" t="str">
        <x:v>2026-09-17</x:v>
      </x:c>
      <x:c r="G12" s="17" t="str"/>
    </x:row>
    <x:row r="13" ht="44" customHeight="1">
      <x:c r="A13" s="17" t="str">
        <x:v>S010</x:v>
      </x:c>
      <x:c r="B13" s="17" t="str">
        <x:v>techcrunch.com</x:v>
      </x:c>
      <x:c r="C13" s="17" t="str">
        <x:v>https://techcrunch.com/2014/03/17/dropbox-acquires-zulip-a-stealthy-workplace-chat-solution-still-in-private-beta/</x:v>
      </x:c>
      <x:c r="D13" s="17" t="str">
        <x:v>Additional corroboration</x:v>
      </x:c>
      <x:c r="E13" s="17" t="str">
        <x:v>Jeff Arnold / Zulip: additional facts; Tim Abbott / Zulip: additional facts; Waseem Daher / Zulip: additional facts; Jessica McKellar: unverified lead review</x:v>
      </x:c>
      <x:c r="F13" s="30" t="str">
        <x:v>2026-09-17</x:v>
      </x:c>
      <x:c r="G13" s="17" t="str"/>
    </x:row>
    <x:row r="14" ht="44" customHeight="1">
      <x:c r="A14" s="17" t="str">
        <x:v>S011</x:v>
      </x:c>
      <x:c r="B14" s="17" t="str">
        <x:v>pilot.com</x:v>
      </x:c>
      <x:c r="C14" s="17" t="str">
        <x:v>https://pilot.com/blog/pilot-unicorn-bezos-expeditions-whale-rock</x:v>
      </x:c>
      <x:c r="D14" s="17" t="str">
        <x:v>Additional corroboration</x:v>
      </x:c>
      <x:c r="E14" s="17" t="str">
        <x:v>Jeff Arnold / Pilot: additional facts; Waseem Daher / Pilot: additional facts</x:v>
      </x:c>
      <x:c r="F14" s="30" t="str">
        <x:v>2026-09-17</x:v>
      </x:c>
      <x:c r="G14" s="17" t="str"/>
    </x:row>
    <x:row r="15" ht="44" customHeight="1">
      <x:c r="A15" s="17" t="str">
        <x:v>S012</x:v>
      </x:c>
      <x:c r="B15" s="17" t="str">
        <x:v>tjhsst.network</x:v>
      </x:c>
      <x:c r="C15" s="17" t="str">
        <x:v>https://www.tjhsst.network/companies/skalara</x:v>
      </x:c>
      <x:c r="D15" s="17" t="str">
        <x:v>Founder source</x:v>
      </x:c>
      <x:c r="E15" s="17" t="str">
        <x:v>Chris Arraya: Skalara founder status</x:v>
      </x:c>
      <x:c r="F15" s="30" t="str">
        <x:v>2026-09-17</x:v>
      </x:c>
      <x:c r="G15" s="17" t="str"/>
    </x:row>
    <x:row r="16" ht="44" customHeight="1">
      <x:c r="A16" s="17" t="str">
        <x:v>S013</x:v>
      </x:c>
      <x:c r="B16" s="17" t="str">
        <x:v>tjhsst.fcps.edu</x:v>
      </x:c>
      <x:c r="C16" s="17" t="str">
        <x:v>https://tjhsst.fcps.edu/sites/default/files/media/inline-files/tjSTAR-Guide-2025.pdf</x:v>
      </x:c>
      <x:c r="D16" s="17" t="str">
        <x:v>TJ attendance source</x:v>
      </x:c>
      <x:c r="E16" s="17" t="str">
        <x:v>Chappy Asel: TJHSST attendance/year; Chappy Asel: Cofactory founder status</x:v>
      </x:c>
      <x:c r="F16" s="30" t="str">
        <x:v>2026-09-17</x:v>
      </x:c>
      <x:c r="G16" s="17" t="str"/>
    </x:row>
    <x:row r="17" ht="44" customHeight="1">
      <x:c r="A17" s="17" t="str">
        <x:v>S014</x:v>
      </x:c>
      <x:c r="B17" s="17" t="str">
        <x:v>linkedin.com</x:v>
      </x:c>
      <x:c r="C17" s="17" t="str">
        <x:v>https://www.linkedin.com/posts/chappyasel_ive-spent-three-years-building-something-activity-7445130268694319104-udgi</x:v>
      </x:c>
      <x:c r="D17" s="17" t="str">
        <x:v>Founder source</x:v>
      </x:c>
      <x:c r="E17" s="17" t="str">
        <x:v>Chappy Asel: The AI Collective founder status</x:v>
      </x:c>
      <x:c r="F17" s="30" t="str">
        <x:v>2026-09-17</x:v>
      </x:c>
      <x:c r="G17" s="17" t="str"/>
    </x:row>
    <x:row r="18" ht="44" customHeight="1">
      <x:c r="A18" s="17" t="str">
        <x:v>S015</x:v>
      </x:c>
      <x:c r="B18" s="17" t="str">
        <x:v>linkedin.com</x:v>
      </x:c>
      <x:c r="C18" s="17" t="str">
        <x:v>https://www.linkedin.com/posts/chappyasel_what-an-absolute-honor-and-thrill-to-return-activity-7333908809943277568-6C1u</x:v>
      </x:c>
      <x:c r="D18" s="17" t="str">
        <x:v>Discovery source</x:v>
      </x:c>
      <x:c r="E18" s="17" t="str">
        <x:v>Chappy Asel: lead provenance</x:v>
      </x:c>
      <x:c r="F18" s="30" t="str">
        <x:v>2026-09-17</x:v>
      </x:c>
      <x:c r="G18" s="17" t="str"/>
    </x:row>
    <x:row r="19" ht="44" customHeight="1">
      <x:c r="A19" s="17" t="str">
        <x:v>S016</x:v>
      </x:c>
      <x:c r="B19" s="17" t="str">
        <x:v>ycombinator.com</x:v>
      </x:c>
      <x:c r="C19" s="17" t="str">
        <x:v>https://www.ycombinator.com/companies/nexa-labs</x:v>
      </x:c>
      <x:c r="D19" s="17" t="str">
        <x:v>Founder source</x:v>
      </x:c>
      <x:c r="E19" s="17" t="str">
        <x:v>Zarif Azher: Nexa Labs founder status</x:v>
      </x:c>
      <x:c r="F19" s="30" t="str">
        <x:v>2026-09-17</x:v>
      </x:c>
      <x:c r="G19" s="17" t="str"/>
    </x:row>
    <x:row r="20" ht="44" customHeight="1">
      <x:c r="A20" s="17" t="str">
        <x:v>S017</x:v>
      </x:c>
      <x:c r="B20" s="17" t="str">
        <x:v>antigravity.capital</x:v>
      </x:c>
      <x:c r="C20" s="17" t="str">
        <x:v>https://antigravity.capital/portfolio/terac</x:v>
      </x:c>
      <x:c r="D20" s="17" t="str">
        <x:v>Founder source</x:v>
      </x:c>
      <x:c r="E20" s="17" t="str">
        <x:v>Zac Baker: Terac founder status; Jack Blair: Terac founder status; Jack Blair: Tailed founder status</x:v>
      </x:c>
      <x:c r="F20" s="30" t="str">
        <x:v>2026-09-17</x:v>
      </x:c>
      <x:c r="G20" s="17" t="str"/>
    </x:row>
    <x:row r="21" ht="44" customHeight="1">
      <x:c r="A21" s="17" t="str">
        <x:v>S018</x:v>
      </x:c>
      <x:c r="B21" s="17" t="str">
        <x:v>linkedin.com</x:v>
      </x:c>
      <x:c r="C21" s="17" t="str">
        <x:v>https://www.linkedin.com/posts/eliam_welcome-riya-dev-to-telora-activity-7289961564652994561-wR4o</x:v>
      </x:c>
      <x:c r="D21" s="17" t="str">
        <x:v>Founder source</x:v>
      </x:c>
      <x:c r="E21" s="17" t="str">
        <x:v>Riya Dev: Dezu founder status</x:v>
      </x:c>
      <x:c r="F21" s="30" t="str">
        <x:v>2026-09-17</x:v>
      </x:c>
      <x:c r="G21" s="17" t="str"/>
    </x:row>
    <x:row r="22" ht="44" customHeight="1">
      <x:c r="A22" s="17" t="str">
        <x:v>S019</x:v>
      </x:c>
      <x:c r="B22" s="17" t="str">
        <x:v>yespress.io</x:v>
      </x:c>
      <x:c r="C22" s="17" t="str">
        <x:v>https://yespress.io/gather</x:v>
      </x:c>
      <x:c r="D22" s="17" t="str">
        <x:v>Founder source</x:v>
      </x:c>
      <x:c r="E22" s="17" t="str">
        <x:v>Nathan Foss: Gather founder status</x:v>
      </x:c>
      <x:c r="F22" s="30" t="str">
        <x:v>2026-09-17</x:v>
      </x:c>
      <x:c r="G22" s="17" t="str"/>
    </x:row>
    <x:row r="23" ht="44" customHeight="1">
      <x:c r="A23" s="17" t="str">
        <x:v>S020</x:v>
      </x:c>
      <x:c r="B23" s="17" t="str">
        <x:v>tjhsst.network</x:v>
      </x:c>
      <x:c r="C23" s="17" t="str">
        <x:v>https://www.tjhsst.network/companies/sapien</x:v>
      </x:c>
      <x:c r="D23" s="17" t="str">
        <x:v>Founder source</x:v>
      </x:c>
      <x:c r="E23" s="17" t="str">
        <x:v>Arya Grayeli: Sapien founder status; Ron Nachum: Sapien founder status; Pranav Ravella: Sapien founder status</x:v>
      </x:c>
      <x:c r="F23" s="30" t="str">
        <x:v>2026-09-17</x:v>
      </x:c>
      <x:c r="G23" s="17" t="str"/>
    </x:row>
    <x:row r="24" ht="44" customHeight="1">
      <x:c r="A24" s="17" t="str">
        <x:v>S021</x:v>
      </x:c>
      <x:c r="B24" s="17" t="str">
        <x:v>fortune.com</x:v>
      </x:c>
      <x:c r="C24" s="17" t="str">
        <x:v>https://fortune.com/2026/09/08/sapien-ai-training-data-startup-funding-valuation/</x:v>
      </x:c>
      <x:c r="D24" s="17" t="str">
        <x:v>Additional corroboration</x:v>
      </x:c>
      <x:c r="E24" s="17" t="str">
        <x:v>Arya Grayeli / Sapien: additional facts; Ron Nachum / Sapien: additional facts; Pranav Ravella / Sapien: additional facts</x:v>
      </x:c>
      <x:c r="F24" s="30" t="str">
        <x:v>2026-09-17</x:v>
      </x:c>
      <x:c r="G24" s="17" t="str"/>
    </x:row>
    <x:row r="25" ht="44" customHeight="1">
      <x:c r="A25" s="17" t="str">
        <x:v>S022</x:v>
      </x:c>
      <x:c r="B25" s="17" t="str">
        <x:v>bvp.com</x:v>
      </x:c>
      <x:c r="C25" s="17" t="str">
        <x:v>https://www.bvp.com/news/meet-the-founders-of-strella-lydia-hylton-and-priya-krishnan</x:v>
      </x:c>
      <x:c r="D25" s="17" t="str">
        <x:v>Founder source</x:v>
      </x:c>
      <x:c r="E25" s="17" t="str">
        <x:v>Lydia Hylton: Strella founder status; Priya Krishnan: Strella founder status</x:v>
      </x:c>
      <x:c r="F25" s="30" t="str">
        <x:v>2026-09-17</x:v>
      </x:c>
      <x:c r="G25" s="17" t="str"/>
    </x:row>
    <x:row r="26" ht="44" customHeight="1">
      <x:c r="A26" s="17" t="str">
        <x:v>S023</x:v>
      </x:c>
      <x:c r="B26" s="17" t="str">
        <x:v>yext.com</x:v>
      </x:c>
      <x:c r="C26" s="17" t="str">
        <x:v>https://www.yext.com/blog/yext-unveils-major-washington-d-c-area-expansion-to-bring-500-jobs-to-the-region</x:v>
      </x:c>
      <x:c r="D26" s="17" t="str">
        <x:v>TJ attendance source</x:v>
      </x:c>
      <x:c r="E26" s="17" t="str">
        <x:v>Howard Lerman: TJHSST attendance/year; Kevin Caffrey: TJHSST attendance/year</x:v>
      </x:c>
      <x:c r="F26" s="30" t="str">
        <x:v>2026-09-17</x:v>
      </x:c>
      <x:c r="G26" s="17" t="str"/>
    </x:row>
    <x:row r="27" ht="44" customHeight="1">
      <x:c r="A27" s="17" t="str">
        <x:v>S024</x:v>
      </x:c>
      <x:c r="B27" s="17" t="str">
        <x:v>linkedin.com</x:v>
      </x:c>
      <x:c r="C27" s="17" t="str">
        <x:v>https://www.linkedin.com/posts/howardlerman_im-jumping-back-in-the-arena-in-life-activity-6959932946824769536-i9uc</x:v>
      </x:c>
      <x:c r="D27" s="17" t="str">
        <x:v>Founder source</x:v>
      </x:c>
      <x:c r="E27" s="17" t="str">
        <x:v>Howard Lerman: Roam founder status; Howard Lerman: lead provenance; Tom Dixon: Roam founder status; Sean MacIsaac: Roam founder status; Kevin Caffrey: Roam founder status</x:v>
      </x:c>
      <x:c r="F27" s="30" t="str">
        <x:v>2026-09-17</x:v>
      </x:c>
      <x:c r="G27" s="17" t="str"/>
    </x:row>
    <x:row r="28" ht="44" customHeight="1">
      <x:c r="A28" s="17" t="str">
        <x:v>S025</x:v>
      </x:c>
      <x:c r="B28" s="17" t="str">
        <x:v>tjhsst.network</x:v>
      </x:c>
      <x:c r="C28" s="17" t="str">
        <x:v>https://www.tjhsst.network/news/roam-raise-1</x:v>
      </x:c>
      <x:c r="D28" s="17" t="str">
        <x:v>Additional corroboration</x:v>
      </x:c>
      <x:c r="E28" s="17" t="str">
        <x:v>Howard Lerman / Roam: additional facts; Tom Dixon / Roam: additional facts; Sean MacIsaac / Roam: additional facts; Kevin Caffrey / Roam: additional facts</x:v>
      </x:c>
      <x:c r="F28" s="30" t="str">
        <x:v>2026-09-17</x:v>
      </x:c>
      <x:c r="G28" s="17" t="str"/>
    </x:row>
    <x:row r="29" ht="44" customHeight="1">
      <x:c r="A29" s="17" t="str">
        <x:v>S026</x:v>
      </x:c>
      <x:c r="B29" s="17" t="str">
        <x:v>activities.tjhsst.edu</x:v>
      </x:c>
      <x:c r="C29" s="17" t="str">
        <x:v>https://activities.tjhsst.edu/sct/about</x:v>
      </x:c>
      <x:c r="D29" s="17" t="str">
        <x:v>TJ attendance source</x:v>
      </x:c>
      <x:c r="E29" s="17" t="str">
        <x:v>Tom Dixon: TJHSST attendance/year; Sean MacIsaac: TJHSST attendance/year</x:v>
      </x:c>
      <x:c r="F29" s="30" t="str">
        <x:v>2026-09-17</x:v>
      </x:c>
      <x:c r="G29" s="17" t="str"/>
    </x:row>
    <x:row r="30" ht="44" customHeight="1">
      <x:c r="A30" s="17" t="str">
        <x:v>S027</x:v>
      </x:c>
      <x:c r="B30" s="17" t="str">
        <x:v>forbesindia.com</x:v>
      </x:c>
      <x:c r="C30" s="17" t="str">
        <x:v>https://www.forbesindia.com/article/cross-border/howard-lerman-shares-the-secrets-of-starting-up/36943/1</x:v>
      </x:c>
      <x:c r="D30" s="17" t="str">
        <x:v>Discovery source</x:v>
      </x:c>
      <x:c r="E30" s="17" t="str">
        <x:v>Tom Dixon: lead provenance; Sean MacIsaac: lead provenance; Howard Lerman: JustATip founder status; Tom Dixon: JustATip founder status; Sean MacIsaac: JustATip founder status; Howard Lerman: Intwine founder status; Tom Dixon: Intwine founder status; Sean MacIsaac: Intwine founder status; Brent Metz: Yext founder status; Brent Metz: lead provenance</x:v>
      </x:c>
      <x:c r="F30" s="30" t="str">
        <x:v>2026-09-17</x:v>
      </x:c>
      <x:c r="G30" s="17" t="str"/>
    </x:row>
    <x:row r="31" ht="44" customHeight="1">
      <x:c r="A31" s="17" t="str">
        <x:v>S028</x:v>
      </x:c>
      <x:c r="B31" s="17" t="str">
        <x:v>linkedin.com</x:v>
      </x:c>
      <x:c r="C31" s="17" t="str">
        <x:v>https://www.linkedin.com/posts/tjpartnershipfund_tjhsst-invention-alert-seven-tjhsst-alums-activity-7245465170574028800-9ir2</x:v>
      </x:c>
      <x:c r="D31" s="17" t="str">
        <x:v>Discovery source</x:v>
      </x:c>
      <x:c r="E31" s="17" t="str">
        <x:v>Kevin Caffrey: lead provenance; John Beutner: exclusion rationale; Theo Ouzhinski: exclusion rationale; Jack Duvall: exclusion rationale</x:v>
      </x:c>
      <x:c r="F31" s="30" t="str">
        <x:v>2026-09-17</x:v>
      </x:c>
      <x:c r="G31" s="17" t="str"/>
    </x:row>
    <x:row r="32" ht="44" customHeight="1">
      <x:c r="A32" s="17" t="str">
        <x:v>S029</x:v>
      </x:c>
      <x:c r="B32" s="17" t="str">
        <x:v>investors.yext.com</x:v>
      </x:c>
      <x:c r="C32" s="17" t="str">
        <x:v>https://investors.yext.com/sec-filings/all-sec-filings/content/0001614178-21-000095/yext-20210709.htm</x:v>
      </x:c>
      <x:c r="D32" s="17" t="str">
        <x:v>Founder source</x:v>
      </x:c>
      <x:c r="E32" s="17" t="str">
        <x:v>Howard Lerman: Yext founder status; Howard Lerman: Confide founder status</x:v>
      </x:c>
      <x:c r="F32" s="30" t="str">
        <x:v>2026-09-17</x:v>
      </x:c>
      <x:c r="G32" s="17" t="str"/>
    </x:row>
    <x:row r="33" ht="44" customHeight="1">
      <x:c r="A33" s="17" t="str">
        <x:v>S030</x:v>
      </x:c>
      <x:c r="B33" s="17" t="str">
        <x:v>documentation.tjhsst.edu</x:v>
      </x:c>
      <x:c r="C33" s="17" t="str">
        <x:v>https://documentation.tjhsst.edu/general/history/fridge</x:v>
      </x:c>
      <x:c r="D33" s="17" t="str">
        <x:v>TJ attendance source</x:v>
      </x:c>
      <x:c r="E33" s="17" t="str">
        <x:v>Brent Metz: TJHSST attendance/year</x:v>
      </x:c>
      <x:c r="F33" s="30" t="str">
        <x:v>2026-09-17</x:v>
      </x:c>
      <x:c r="G33" s="17" t="str"/>
    </x:row>
    <x:row r="34" ht="44" customHeight="1">
      <x:c r="A34" s="17" t="str">
        <x:v>S031</x:v>
      </x:c>
      <x:c r="B34" s="17" t="str">
        <x:v>forbes.com</x:v>
      </x:c>
      <x:c r="C34" s="17" t="str">
        <x:v>https://www.forbes.com/profile/assort-health/</x:v>
      </x:c>
      <x:c r="D34" s="17" t="str">
        <x:v>Founder source</x:v>
      </x:c>
      <x:c r="E34" s="17" t="str">
        <x:v>Jeffery Liu: Assort Health founder status</x:v>
      </x:c>
      <x:c r="F34" s="30" t="str">
        <x:v>2026-09-17</x:v>
      </x:c>
      <x:c r="G34" s="17" t="str"/>
    </x:row>
    <x:row r="35" ht="44" customHeight="1">
      <x:c r="A35" s="17" t="str">
        <x:v>S032</x:v>
      </x:c>
      <x:c r="B35" s="17" t="str">
        <x:v>greenfield-growth.com</x:v>
      </x:c>
      <x:c r="C35" s="17" t="str">
        <x:v>https://www.greenfield-growth.com/knowledge/disruptors60-assort-health-interview/</x:v>
      </x:c>
      <x:c r="D35" s="17" t="str">
        <x:v>Additional corroboration</x:v>
      </x:c>
      <x:c r="E35" s="17" t="str">
        <x:v>Jeffery Liu / Assort Health: additional facts</x:v>
      </x:c>
      <x:c r="F35" s="30" t="str">
        <x:v>2026-09-17</x:v>
      </x:c>
      <x:c r="G35" s="17" t="str"/>
    </x:row>
    <x:row r="36" ht="44" customHeight="1">
      <x:c r="A36" s="17" t="str">
        <x:v>S033</x:v>
      </x:c>
      <x:c r="B36" s="17" t="str">
        <x:v>tjhsst.network</x:v>
      </x:c>
      <x:c r="C36" s="17" t="str">
        <x:v>https://www.tjhsst.network/companies/cosmos-institute</x:v>
      </x:c>
      <x:c r="D36" s="17" t="str">
        <x:v>Founder source</x:v>
      </x:c>
      <x:c r="E36" s="17" t="str">
        <x:v>Brendan McCord: Cosmos Institute founder status</x:v>
      </x:c>
      <x:c r="F36" s="30" t="str">
        <x:v>2026-09-17</x:v>
      </x:c>
      <x:c r="G36" s="17" t="str"/>
    </x:row>
    <x:row r="37" ht="44" customHeight="1">
      <x:c r="A37" s="17" t="str">
        <x:v>S034</x:v>
      </x:c>
      <x:c r="B37" s="17" t="str">
        <x:v>themuse.com</x:v>
      </x:c>
      <x:c r="C37" s="17" t="str">
        <x:v>https://www.themuse.com/author/kathryn-minshew</x:v>
      </x:c>
      <x:c r="D37" s="17" t="str">
        <x:v>Founder source</x:v>
      </x:c>
      <x:c r="E37" s="17" t="str">
        <x:v>Kathryn Minshew: The Muse founder status</x:v>
      </x:c>
      <x:c r="F37" s="30" t="str">
        <x:v>2026-09-17</x:v>
      </x:c>
      <x:c r="G37" s="17" t="str"/>
    </x:row>
    <x:row r="38" ht="44" customHeight="1">
      <x:c r="A38" s="17" t="str">
        <x:v>S035</x:v>
      </x:c>
      <x:c r="B38" s="17" t="str">
        <x:v>en.wikipedia.org</x:v>
      </x:c>
      <x:c r="C38" s="17" t="str">
        <x:v>https://en.wikipedia.org/wiki/Kathryn_Minshew</x:v>
      </x:c>
      <x:c r="D38" s="17" t="str">
        <x:v>Founder source</x:v>
      </x:c>
      <x:c r="E38" s="17" t="str">
        <x:v>Kathryn Minshew: Pretty Young Professionals founder status</x:v>
      </x:c>
      <x:c r="F38" s="30" t="str">
        <x:v>2026-09-17</x:v>
      </x:c>
      <x:c r="G38" s="17" t="str"/>
    </x:row>
    <x:row r="39" ht="44" customHeight="1">
      <x:c r="A39" s="17" t="str">
        <x:v>S036</x:v>
      </x:c>
      <x:c r="B39" s="17" t="str">
        <x:v>tjhsst.network</x:v>
      </x:c>
      <x:c r="C39" s="17" t="str">
        <x:v>https://www.tjhsst.network/companies/applied37</x:v>
      </x:c>
      <x:c r="D39" s="17" t="str">
        <x:v>Founder source</x:v>
      </x:c>
      <x:c r="E39" s="17" t="str">
        <x:v>Rohan Kalahasty: Forge (formerly Applied37/a37) founder status; Sritan Motati: Forge (formerly Applied37/a37) founder status; Tahsin Zaman: Forge (formerly Applied37/a37) founder status; Brian Zhou: Forge (formerly Applied37/a37) founder status</x:v>
      </x:c>
      <x:c r="F39" s="30" t="str">
        <x:v>2026-09-17</x:v>
      </x:c>
      <x:c r="G39" s="17" t="str"/>
    </x:row>
    <x:row r="40" ht="44" customHeight="1">
      <x:c r="A40" s="17" t="str">
        <x:v>S037</x:v>
      </x:c>
      <x:c r="B40" s="17" t="str">
        <x:v>rohankalahasty.com</x:v>
      </x:c>
      <x:c r="C40" s="17" t="str">
        <x:v>https://rohankalahasty.com/essays/raising</x:v>
      </x:c>
      <x:c r="D40" s="17" t="str">
        <x:v>Additional corroboration</x:v>
      </x:c>
      <x:c r="E40" s="17" t="str">
        <x:v>Rohan Kalahasty / Forge (formerly Applied37/a37): additional facts; Sritan Motati / Forge (formerly Applied37/a37): additional facts; Tahsin Zaman / Forge (formerly Applied37/a37): additional facts; Brian Zhou / Forge (formerly Applied37/a37): additional facts</x:v>
      </x:c>
      <x:c r="F40" s="30" t="str">
        <x:v>2026-09-17</x:v>
      </x:c>
      <x:c r="G40" s="17" t="str"/>
    </x:row>
    <x:row r="41" ht="44" customHeight="1">
      <x:c r="A41" s="17" t="str">
        <x:v>S038</x:v>
      </x:c>
      <x:c r="B41" s="17" t="str">
        <x:v>linkedin.com</x:v>
      </x:c>
      <x:c r="C41" s="17" t="str">
        <x:v>https://www.linkedin.com/posts/akash-raju_cpg-startups-ai-activity-7315364257129246721-CN6J</x:v>
      </x:c>
      <x:c r="D41" s="17" t="str">
        <x:v>Founder source</x:v>
      </x:c>
      <x:c r="E41" s="17" t="str">
        <x:v>Akash Raju: Glimpse founder status</x:v>
      </x:c>
      <x:c r="F41" s="30" t="str">
        <x:v>2026-09-17</x:v>
      </x:c>
      <x:c r="G41" s="17" t="str"/>
    </x:row>
    <x:row r="42" ht="44" customHeight="1">
      <x:c r="A42" s="17" t="str">
        <x:v>S039</x:v>
      </x:c>
      <x:c r="B42" s="17" t="str">
        <x:v>linkedin.com</x:v>
      </x:c>
      <x:c r="C42" s="17" t="str">
        <x:v>https://www.linkedin.com/posts/chappyasel_thrilled-to-be-moderating-a-powerhouse-tjhsst-activity-7402354519331946496-OvYa</x:v>
      </x:c>
      <x:c r="D42" s="17" t="str">
        <x:v>Discovery source</x:v>
      </x:c>
      <x:c r="E42" s="17" t="str">
        <x:v>Akash Raju: lead provenance; Sophia Kianni: lead provenance</x:v>
      </x:c>
      <x:c r="F42" s="30" t="str">
        <x:v>2026-09-17</x:v>
      </x:c>
      <x:c r="G42" s="17" t="str"/>
    </x:row>
    <x:row r="43" ht="44" customHeight="1">
      <x:c r="A43" s="17" t="str">
        <x:v>S040</x:v>
      </x:c>
      <x:c r="B43" s="17" t="str">
        <x:v>conorrussomanno.com</x:v>
      </x:c>
      <x:c r="C43" s="17" t="str">
        <x:v>https://conorrussomanno.com/</x:v>
      </x:c>
      <x:c r="D43" s="17" t="str">
        <x:v>TJ attendance source</x:v>
      </x:c>
      <x:c r="E43" s="17" t="str">
        <x:v>Conor Russomanno: TJHSST attendance/year; Conor Russomanno: OpenBCI founder status; Conor Russomanno: NeuroTechNYC founder status</x:v>
      </x:c>
      <x:c r="F43" s="30" t="str">
        <x:v>2026-09-17</x:v>
      </x:c>
      <x:c r="G43" s="17" t="str"/>
    </x:row>
    <x:row r="44" ht="44" customHeight="1">
      <x:c r="A44" s="17" t="str">
        <x:v>S041</x:v>
      </x:c>
      <x:c r="B44" s="17" t="str">
        <x:v>investors.robinhood.com</x:v>
      </x:c>
      <x:c r="C44" s="17" t="str">
        <x:v>https://investors.robinhood.com/governance/board-of-directors/person-details/default.aspx?ItemId=6e6e73ed-6cc5-4f4c-88de-e1bf31b86268</x:v>
      </x:c>
      <x:c r="D44" s="17" t="str">
        <x:v>Founder source</x:v>
      </x:c>
      <x:c r="E44" s="17" t="str">
        <x:v>Vlad Tenev: Robinhood founder status</x:v>
      </x:c>
      <x:c r="F44" s="30" t="str">
        <x:v>2026-09-17</x:v>
      </x:c>
      <x:c r="G44" s="17" t="str"/>
    </x:row>
    <x:row r="45" ht="44" customHeight="1">
      <x:c r="A45" s="17" t="str">
        <x:v>S042</x:v>
      </x:c>
      <x:c r="B45" s="17" t="str">
        <x:v>en.wikipedia.org</x:v>
      </x:c>
      <x:c r="C45" s="17" t="str">
        <x:v>https://en.wikipedia.org/wiki/Greg_Tseng</x:v>
      </x:c>
      <x:c r="D45" s="17" t="str">
        <x:v>Founder source</x:v>
      </x:c>
      <x:c r="E45" s="17" t="str">
        <x:v>Greg Tseng: Tagged founder status; Greg Tseng: Jumpstart Technologies founder status; Greg Tseng: flyingchickens.com founder status</x:v>
      </x:c>
      <x:c r="F45" s="30" t="str">
        <x:v>2026-09-17</x:v>
      </x:c>
      <x:c r="G45" s="17" t="str"/>
    </x:row>
    <x:row r="46" ht="44" customHeight="1">
      <x:c r="A46" s="17" t="str">
        <x:v>S043</x:v>
      </x:c>
      <x:c r="B46" s="17" t="str">
        <x:v>commencement.mit.edu</x:v>
      </x:c>
      <x:c r="C46" s="17" t="str">
        <x:v>https://commencement.mit.edu/sites/default/files/c26-SOE-SCC-program-final.pdf</x:v>
      </x:c>
      <x:c r="D46" s="17" t="str">
        <x:v>Founder source</x:v>
      </x:c>
      <x:c r="E46" s="17" t="str">
        <x:v>Geoffrey von Maltzahn: Indigo Agriculture founder status; Geoffrey von Maltzahn: Seres Therapeutics founder status; Geoffrey von Maltzahn: Generate Biomedicines founder status; Geoffrey von Maltzahn: Tessera Therapeutics founder status; Geoffrey von Maltzahn: Quotient Therapeutics founder status; Geoffrey von Maltzahn: Sana Biotechnology founder status; Geoffrey von Maltzahn: Lila Sciences founder status</x:v>
      </x:c>
      <x:c r="F46" s="30" t="str">
        <x:v>2026-09-17</x:v>
      </x:c>
      <x:c r="G46" s="17" t="str"/>
    </x:row>
    <x:row r="47" ht="44" customHeight="1">
      <x:c r="A47" s="17" t="str">
        <x:v>S044</x:v>
      </x:c>
      <x:c r="B47" s="17" t="str">
        <x:v>tjhsst.network</x:v>
      </x:c>
      <x:c r="C47" s="17" t="str">
        <x:v>https://www.tjhsst.network/news/orchard-robotics-series-a</x:v>
      </x:c>
      <x:c r="D47" s="17" t="str">
        <x:v>Founder source</x:v>
      </x:c>
      <x:c r="E47" s="17" t="str">
        <x:v>Charlie Wu: Orchard Robotics founder status</x:v>
      </x:c>
      <x:c r="F47" s="30" t="str">
        <x:v>2026-09-17</x:v>
      </x:c>
      <x:c r="G47" s="17" t="str"/>
    </x:row>
    <x:row r="48" ht="44" customHeight="1">
      <x:c r="A48" s="17" t="str">
        <x:v>S045</x:v>
      </x:c>
      <x:c r="B48" s="17" t="str">
        <x:v>sathvikr.com</x:v>
      </x:c>
      <x:c r="C48" s="17" t="str">
        <x:v>https://sathvikr.com/</x:v>
      </x:c>
      <x:c r="D48" s="17" t="str">
        <x:v>Founder source</x:v>
      </x:c>
      <x:c r="E48" s="17" t="str">
        <x:v>Sathvik Redrouthu: Instachip founder status</x:v>
      </x:c>
      <x:c r="F48" s="30" t="str">
        <x:v>2026-09-17</x:v>
      </x:c>
      <x:c r="G48" s="17" t="str"/>
    </x:row>
    <x:row r="49" ht="44" customHeight="1">
      <x:c r="A49" s="17" t="str">
        <x:v>S046</x:v>
      </x:c>
      <x:c r="B49" s="17" t="str">
        <x:v>en.wikipedia.org</x:v>
      </x:c>
      <x:c r="C49" s="17" t="str">
        <x:v>https://en.wikipedia.org/wiki/Darius_Kazemi</x:v>
      </x:c>
      <x:c r="D49" s="17" t="str">
        <x:v>Founder source</x:v>
      </x:c>
      <x:c r="E49" s="17" t="str">
        <x:v>Darius Kazemi: Feel Train founder status</x:v>
      </x:c>
      <x:c r="F49" s="30" t="str">
        <x:v>2026-09-17</x:v>
      </x:c>
      <x:c r="G49" s="17" t="str"/>
    </x:row>
    <x:row r="50" ht="44" customHeight="1">
      <x:c r="A50" s="17" t="str">
        <x:v>S047</x:v>
      </x:c>
      <x:c r="B50" s="17" t="str">
        <x:v>linkedin.com</x:v>
      </x:c>
      <x:c r="C50" s="17" t="str">
        <x:v>https://www.linkedin.com/posts/sophiakianni_so-excited-for-the-tjhsst-alumni-panel-today-activity-7404916228353466368-xL0c</x:v>
      </x:c>
      <x:c r="D50" s="17" t="str">
        <x:v>TJ attendance source</x:v>
      </x:c>
      <x:c r="E50" s="17" t="str">
        <x:v>Sophia Kianni: TJHSST attendance/year</x:v>
      </x:c>
      <x:c r="F50" s="30" t="str">
        <x:v>2026-09-17</x:v>
      </x:c>
      <x:c r="G50" s="17" t="str"/>
    </x:row>
    <x:row r="51" ht="44" customHeight="1">
      <x:c r="A51" s="17" t="str">
        <x:v>S048</x:v>
      </x:c>
      <x:c r="B51" s="17" t="str">
        <x:v>climatecardinals.org</x:v>
      </x:c>
      <x:c r="C51" s="17" t="str">
        <x:v>https://www.climatecardinals.org/our-people</x:v>
      </x:c>
      <x:c r="D51" s="17" t="str">
        <x:v>Founder source</x:v>
      </x:c>
      <x:c r="E51" s="17" t="str">
        <x:v>Sophia Kianni: Climate Cardinals founder status</x:v>
      </x:c>
      <x:c r="F51" s="30" t="str">
        <x:v>2026-09-17</x:v>
      </x:c>
      <x:c r="G51" s="17" t="str"/>
    </x:row>
    <x:row r="52" ht="44" customHeight="1">
      <x:c r="A52" s="17" t="str">
        <x:v>S049</x:v>
      </x:c>
      <x:c r="B52" s="17" t="str">
        <x:v>globenewswire.com</x:v>
      </x:c>
      <x:c r="C52" s="17" t="str">
        <x:v>https://www.globenewswire.com/news-release/2026/01/27/3226762/0/en/Phia-Raises-35-Million-Series-A-Led-by-Notable-Capital.html</x:v>
      </x:c>
      <x:c r="D52" s="17" t="str">
        <x:v>Founder source</x:v>
      </x:c>
      <x:c r="E52" s="17" t="str">
        <x:v>Sophia Kianni: Phia founder status</x:v>
      </x:c>
      <x:c r="F52" s="30" t="str">
        <x:v>2026-09-17</x:v>
      </x:c>
      <x:c r="G52" s="17" t="str"/>
    </x:row>
    <x:row r="53" ht="44" customHeight="1">
      <x:c r="A53" s="17" t="str">
        <x:v>S050</x:v>
      </x:c>
      <x:c r="B53" s="17" t="str">
        <x:v>girlscomputingleague.org</x:v>
      </x:c>
      <x:c r="C53" s="17" t="str">
        <x:v>https://girlscomputingleague.org/about</x:v>
      </x:c>
      <x:c r="D53" s="17" t="str">
        <x:v>Founder source</x:v>
      </x:c>
      <x:c r="E53" s="17" t="str">
        <x:v>Kavya Kopparapu: Girls Computing League founder status</x:v>
      </x:c>
      <x:c r="F53" s="30" t="str">
        <x:v>2026-09-17</x:v>
      </x:c>
      <x:c r="G53" s="17" t="str"/>
    </x:row>
    <x:row r="54" ht="44" customHeight="1">
      <x:c r="A54" s="17" t="str">
        <x:v>S051</x:v>
      </x:c>
      <x:c r="B54" s="17" t="str">
        <x:v>hawaiifoodandwinefestival.com</x:v>
      </x:c>
      <x:c r="C54" s="17" t="str">
        <x:v>https://hawaiifoodandwinefestival.com/talent/danny-lee/</x:v>
      </x:c>
      <x:c r="D54" s="17" t="str">
        <x:v>Founder source</x:v>
      </x:c>
      <x:c r="E54" s="17" t="str">
        <x:v>Danny Lee: Mandu founder status; Danny Lee: CHIKO founder status; Danny Lee: Anju founder status</x:v>
      </x:c>
      <x:c r="F54" s="30" t="str">
        <x:v>2026-09-17</x:v>
      </x:c>
      <x:c r="G54" s="17" t="str"/>
    </x:row>
    <x:row r="55" ht="44" customHeight="1">
      <x:c r="A55" s="17" t="str">
        <x:v>S052</x:v>
      </x:c>
      <x:c r="B55" s="17" t="str">
        <x:v>washingtonpost.com</x:v>
      </x:c>
      <x:c r="C55" s="17" t="str">
        <x:v>https://www.washingtonpost.com/business/economy/value-added-computer-skills-lead-tj-alum-to-found-his-own-company/2012/03/09/gIQAosDt5R_story.html</x:v>
      </x:c>
      <x:c r="D55" s="17" t="str">
        <x:v>TJ attendance source</x:v>
      </x:c>
      <x:c r="E55" s="17" t="str">
        <x:v>David Rosenthal: TJHSST attendance/year; David Rosenthal: FoundationDB founder status; David Rosenthal: lead provenance; David Scherer: TJHSST attendance/year; Nick Lavezzo: unverified lead review</x:v>
      </x:c>
      <x:c r="F55" s="30" t="str">
        <x:v>2026-09-17</x:v>
      </x:c>
      <x:c r="G55" s="17" t="str"/>
    </x:row>
    <x:row r="56" ht="44" customHeight="1">
      <x:c r="A56" s="17" t="str">
        <x:v>S053</x:v>
      </x:c>
      <x:c r="B56" s="17" t="str">
        <x:v>wellfound.com</x:v>
      </x:c>
      <x:c r="C56" s="17" t="str">
        <x:v>https://wellfound.com/p/david-scherer</x:v>
      </x:c>
      <x:c r="D56" s="17" t="str">
        <x:v>Founder source</x:v>
      </x:c>
      <x:c r="E56" s="17" t="str">
        <x:v>David Scherer: FoundationDB founder status; David Scherer: lead provenance; David Scherer: Visual Sciences founder status</x:v>
      </x:c>
      <x:c r="F56" s="30" t="str">
        <x:v>2026-09-17</x:v>
      </x:c>
      <x:c r="G56" s="17" t="str"/>
    </x:row>
    <x:row r="57" ht="44" customHeight="1">
      <x:c r="A57" s="17" t="str">
        <x:v>S054</x:v>
      </x:c>
      <x:c r="B57" s="17" t="str">
        <x:v>content.govdelivery.com</x:v>
      </x:c>
      <x:c r="C57" s="17" t="str">
        <x:v>https://content.govdelivery.com/accounts/VAEDUFCPS/bulletins/2b3f060</x:v>
      </x:c>
      <x:c r="D57" s="17" t="str">
        <x:v>TJ attendance source</x:v>
      </x:c>
      <x:c r="E57" s="17" t="str">
        <x:v>Brian Tubergen: TJHSST attendance/year; Brian Tubergen: lead provenance</x:v>
      </x:c>
      <x:c r="F57" s="30" t="str">
        <x:v>2026-09-17</x:v>
      </x:c>
      <x:c r="G57" s="17" t="str"/>
    </x:row>
    <x:row r="58" ht="44" customHeight="1">
      <x:c r="A58" s="17" t="str">
        <x:v>S055</x:v>
      </x:c>
      <x:c r="B58" s="17" t="str">
        <x:v>entrepreneurs.princeton.edu</x:v>
      </x:c>
      <x:c r="C58" s="17" t="str">
        <x:v>https://entrepreneurs.princeton.edu/sites/g/files/toruqf151/files/2019-11/nyctec19_program-final.pdf</x:v>
      </x:c>
      <x:c r="D58" s="17" t="str">
        <x:v>Founder source</x:v>
      </x:c>
      <x:c r="E58" s="17" t="str">
        <x:v>Brian Tubergen: CoinList founder status</x:v>
      </x:c>
      <x:c r="F58" s="30" t="str">
        <x:v>2026-09-17</x:v>
      </x:c>
      <x:c r="G58" s="17" t="str"/>
    </x:row>
    <x:row r="59" ht="44" customHeight="1">
      <x:c r="A59" s="17" t="str">
        <x:v>S056</x:v>
      </x:c>
      <x:c r="B59" s="17" t="str">
        <x:v>en.wikipedia.org</x:v>
      </x:c>
      <x:c r="C59" s="17" t="str">
        <x:v>https://en.wikipedia.org/wiki/Daniel_Shin</x:v>
      </x:c>
      <x:c r="D59" s="17" t="str">
        <x:v>TJ attendance source</x:v>
      </x:c>
      <x:c r="E59" s="17" t="str">
        <x:v>Daniel Shin: TJHSST attendance/year; Daniel Shin / Invite Media: additional facts; Daniel Shin / Ticket Monster: additional facts; Daniel Shin / Fast Track Asia: additional facts; Daniel Shin / Bass Investment: additional facts; Daniel Shin / Terraform Labs: additional facts; Daniel Shin / PortOne Global (formerly CHAI): additional facts</x:v>
      </x:c>
      <x:c r="F59" s="30" t="str">
        <x:v>2026-09-17</x:v>
      </x:c>
      <x:c r="G59" s="17" t="str"/>
    </x:row>
    <x:row r="60" ht="44" customHeight="1">
      <x:c r="A60" s="17" t="str">
        <x:v>S057</x:v>
      </x:c>
      <x:c r="B60" s="17" t="str">
        <x:v>magazine.wharton.upenn.edu</x:v>
      </x:c>
      <x:c r="C60" s="17" t="str">
        <x:v>https://magazine.wharton.upenn.edu/daniel-shin-c08-w08/</x:v>
      </x:c>
      <x:c r="D60" s="17" t="str">
        <x:v>Founder source</x:v>
      </x:c>
      <x:c r="E60" s="17" t="str">
        <x:v>Daniel Shin: Invite Media founder status; Daniel Shin: lead provenance; Daniel Shin: Ticket Monster founder status; Daniel Shin: Fast Track Asia founder status; Daniel Shin: Bass Investment founder status; Daniel Shin: Terraform Labs founder status; Daniel Shin: PortOne Global (formerly CHAI) founder status</x:v>
      </x:c>
      <x:c r="F60" s="30" t="str">
        <x:v>2026-09-17</x:v>
      </x:c>
      <x:c r="G60" s="17" t="str"/>
    </x:row>
    <x:row r="61" ht="44" customHeight="1">
      <x:c r="A61" s="17" t="str">
        <x:v>S058</x:v>
      </x:c>
      <x:c r="B61" s="17" t="str">
        <x:v>greenknig.ht</x:v>
      </x:c>
      <x:c r="C61" s="17" t="str">
        <x:v>https://greenknig.ht/2025/10/06/from-tj-alumni-to-climatetech-ceo-my-journey-on-the-alumni-blast-from-the-past-podcast/</x:v>
      </x:c>
      <x:c r="D61" s="17" t="str">
        <x:v>TJ attendance source</x:v>
      </x:c>
      <x:c r="E61" s="17" t="str">
        <x:v>Bryan Guido Hassin: TJHSST attendance/year; Bryan Guido Hassin: lead provenance</x:v>
      </x:c>
      <x:c r="F61" s="30" t="str">
        <x:v>2026-09-17</x:v>
      </x:c>
      <x:c r="G61" s="17" t="str"/>
    </x:row>
    <x:row r="62" ht="44" customHeight="1">
      <x:c r="A62" s="17" t="str">
        <x:v>S059</x:v>
      </x:c>
      <x:c r="B62" s="17" t="str">
        <x:v>engineering.rice.edu</x:v>
      </x:c>
      <x:c r="C62" s="17" t="str">
        <x:v>https://engineering.rice.edu/people/bryan-hassin</x:v>
      </x:c>
      <x:c r="D62" s="17" t="str">
        <x:v>Founder source</x:v>
      </x:c>
      <x:c r="E62" s="17" t="str">
        <x:v>Bryan Guido Hassin: Third Derivative founder status</x:v>
      </x:c>
      <x:c r="F62" s="30" t="str">
        <x:v>2026-09-17</x:v>
      </x:c>
      <x:c r="G62" s="17" t="str"/>
    </x:row>
    <x:row r="63" ht="44" customHeight="1">
      <x:c r="A63" s="17" t="str">
        <x:v>S060</x:v>
      </x:c>
      <x:c r="B63" s="17" t="str">
        <x:v>levantado.ddns.net</x:v>
      </x:c>
      <x:c r="C63" s="17" t="str">
        <x:v>https://levantado.ddns.net/ipfs/QmXoypizjW3WknFiJnKLwHCnL72vedxjQkDDP1mXWo6uco/wiki/Thomas_Jefferson_High_School_for_Science_and_Technology.html</x:v>
      </x:c>
      <x:c r="D63" s="17" t="str">
        <x:v>TJ attendance source</x:v>
      </x:c>
      <x:c r="E63" s="17" t="str">
        <x:v>Ravi Shankar: TJHSST attendance/year</x:v>
      </x:c>
      <x:c r="F63" s="30" t="str">
        <x:v>2026-09-17</x:v>
      </x:c>
      <x:c r="G63" s="17" t="str"/>
    </x:row>
    <x:row r="64" ht="44" customHeight="1">
      <x:c r="A64" s="17" t="str">
        <x:v>S061</x:v>
      </x:c>
      <x:c r="B64" s="17" t="str">
        <x:v>drunkenboat.com</x:v>
      </x:c>
      <x:c r="C64" s="17" t="str">
        <x:v>https://drunkenboat.com/index.php</x:v>
      </x:c>
      <x:c r="D64" s="17" t="str">
        <x:v>Founder source</x:v>
      </x:c>
      <x:c r="E64" s="17" t="str">
        <x:v>Ravi Shankar: Drunken Boat founder status; Ravi Shankar: lead provenance</x:v>
      </x:c>
      <x:c r="F64" s="30" t="str">
        <x:v>2026-09-17</x:v>
      </x:c>
      <x:c r="G64" s="17" t="str"/>
    </x:row>
    <x:row r="65" ht="44" customHeight="1">
      <x:c r="A65" s="17" t="str">
        <x:v>S062</x:v>
      </x:c>
      <x:c r="B65" s="17" t="str">
        <x:v>en.wikipedia.org</x:v>
      </x:c>
      <x:c r="C65" s="17" t="str">
        <x:v>https://en.wikipedia.org/wiki/Anthony_Myint</x:v>
      </x:c>
      <x:c r="D65" s="17" t="str">
        <x:v>TJ attendance source</x:v>
      </x:c>
      <x:c r="E65" s="17" t="str">
        <x:v>Anthony Myint: TJHSST attendance/year; Anthony Myint: Mission Street Food founder status; Anthony Myint: Mission Chinese Food founder status; Anthony Myint: Mission Burger founder status; Anthony Myint: Mission Cantina founder status; Anthony Myint: Commonwealth founder status; Anthony Myint: The Perennial founder status</x:v>
      </x:c>
      <x:c r="F65" s="30" t="str">
        <x:v>2026-09-17</x:v>
      </x:c>
      <x:c r="G65" s="17" t="str"/>
    </x:row>
    <x:row r="66" ht="44" customHeight="1">
      <x:c r="A66" s="17" t="str">
        <x:v>S063</x:v>
      </x:c>
      <x:c r="B66" s="17" t="str">
        <x:v>en.wikipedia.org</x:v>
      </x:c>
      <x:c r="C66" s="17" t="str">
        <x:v>https://en.wikipedia.org/wiki/Bob_Bland</x:v>
      </x:c>
      <x:c r="D66" s="17" t="str">
        <x:v>TJ attendance source</x:v>
      </x:c>
      <x:c r="E66" s="17" t="str">
        <x:v>Bob Bland: TJHSST attendance/year; Bob Bland: Brooklyn Royalty founder status; Bob Bland: Manufacture New York founder status</x:v>
      </x:c>
      <x:c r="F66" s="30" t="str">
        <x:v>2026-09-17</x:v>
      </x:c>
      <x:c r="G66" s="17" t="str"/>
    </x:row>
    <x:row r="67" ht="44" customHeight="1">
      <x:c r="A67" s="17" t="str">
        <x:v>S064</x:v>
      </x:c>
      <x:c r="B67" s="17" t="str">
        <x:v>downloads.regulations.gov</x:v>
      </x:c>
      <x:c r="C67" s="17" t="str">
        <x:v>https://downloads.regulations.gov/DOT-OST-2020-0134-0001/attachment_5.pdf</x:v>
      </x:c>
      <x:c r="D67" s="17" t="str">
        <x:v>TJ attendance source</x:v>
      </x:c>
      <x:c r="E67" s="17" t="str">
        <x:v>Josh Jones: TJHSST attendance/year; Josh Jones: DreamHost founder status; Josh Jones: lead provenance; Josh Jones: ePub Bud founder status; Josh Jones: HMC INQ founder status</x:v>
      </x:c>
      <x:c r="F67" s="30" t="str">
        <x:v>2026-09-17</x:v>
      </x:c>
      <x:c r="G67" s="17" t="str"/>
    </x:row>
    <x:row r="68" ht="44" customHeight="1">
      <x:c r="A68" s="17" t="str">
        <x:v>S065</x:v>
      </x:c>
      <x:c r="B68" s="17" t="str">
        <x:v>wellfound.com</x:v>
      </x:c>
      <x:c r="C68" s="17" t="str">
        <x:v>https://wellfound.com/p/josh-jones</x:v>
      </x:c>
      <x:c r="D68" s="17" t="str">
        <x:v>Additional corroboration</x:v>
      </x:c>
      <x:c r="E68" s="17" t="str">
        <x:v>Josh Jones / DreamHost: additional facts; Josh Jones / ePub Bud: additional facts; Josh Jones / HMC INQ: additional facts</x:v>
      </x:c>
      <x:c r="F68" s="30" t="str">
        <x:v>2026-09-17</x:v>
      </x:c>
      <x:c r="G68" s="17" t="str"/>
    </x:row>
    <x:row r="69" ht="44" customHeight="1">
      <x:c r="A69" s="17" t="str">
        <x:v>S066</x:v>
      </x:c>
      <x:c r="B69" s="17" t="str">
        <x:v>fcnp.com</x:v>
      </x:c>
      <x:c r="C69" s="17" t="str">
        <x:v>https://www.fcnp.com/2007/11/28/community-news-and-notes/</x:v>
      </x:c>
      <x:c r="D69" s="17" t="str">
        <x:v>TJ attendance source</x:v>
      </x:c>
      <x:c r="E69" s="17" t="str">
        <x:v>Evan Burfield: TJHSST attendance/year</x:v>
      </x:c>
      <x:c r="F69" s="30" t="str">
        <x:v>2026-09-17</x:v>
      </x:c>
      <x:c r="G69" s="17" t="str"/>
    </x:row>
    <x:row r="70" ht="44" customHeight="1">
      <x:c r="A70" s="17" t="str">
        <x:v>S067</x:v>
      </x:c>
      <x:c r="B70" s="17" t="str">
        <x:v>uschamber.com</x:v>
      </x:c>
      <x:c r="C70" s="17" t="str">
        <x:v>https://www.uschamber.com/sites/default/files/final_health_care_summit_program.pdf</x:v>
      </x:c>
      <x:c r="D70" s="17" t="str">
        <x:v>Founder source</x:v>
      </x:c>
      <x:c r="E70" s="17" t="str">
        <x:v>Evan Burfield: netDecide founder status; Evan Burfield: Synteractive founder status; Evan Burfield: 1776 founder status; Evan Burfield: Hallway founder status</x:v>
      </x:c>
      <x:c r="F70" s="30" t="str">
        <x:v>2026-09-17</x:v>
      </x:c>
      <x:c r="G70" s="17" t="str"/>
    </x:row>
    <x:row r="71" ht="44" customHeight="1">
      <x:c r="A71" s="17" t="str">
        <x:v>S068</x:v>
      </x:c>
      <x:c r="B71" s="17" t="str">
        <x:v>washingtonpost.com</x:v>
      </x:c>
      <x:c r="C71" s="17" t="str">
        <x:v>https://www.washingtonpost.com/business/capitalbusiness/at-hallway-high-school-students-try-to-help-schools-communicate/2012/09/14/47b849b2-fc1a-11e1-a31e-804fccb658f9_story.html</x:v>
      </x:c>
      <x:c r="D71" s="17" t="str">
        <x:v>Additional corroboration</x:v>
      </x:c>
      <x:c r="E71" s="17" t="str">
        <x:v>Evan Burfield / netDecide: additional facts; Evan Burfield / Synteractive: additional facts; Evan Burfield / 1776: additional facts; Evan Burfield / Hallway: additional facts; Sean McElrath: TJHSST attendance/year; Other Hallway student team members: exclusion rationale</x:v>
      </x:c>
      <x:c r="F71" s="30" t="str">
        <x:v>2026-09-17</x:v>
      </x:c>
      <x:c r="G71" s="17" t="str"/>
    </x:row>
    <x:row r="72" ht="44" customHeight="1">
      <x:c r="A72" s="17" t="str">
        <x:v>S069</x:v>
      </x:c>
      <x:c r="B72" s="17" t="str">
        <x:v>washingtonpost.com</x:v>
      </x:c>
      <x:c r="C72" s="17" t="str">
        <x:v>https://www.washingtonpost.com/business/capitalbusiness/start-up-hub-1776-aims-to-connect-dc-tech-entrepreneurs/2013/01/18/1c9ed8ac-60cd-11e2-b05a-605528f6b712_story.html</x:v>
      </x:c>
      <x:c r="D72" s="17" t="str">
        <x:v>Discovery source</x:v>
      </x:c>
      <x:c r="E72" s="17" t="str">
        <x:v>Evan Burfield: lead provenance</x:v>
      </x:c>
      <x:c r="F72" s="30" t="str">
        <x:v>2026-09-17</x:v>
      </x:c>
      <x:c r="G72" s="17" t="str"/>
    </x:row>
    <x:row r="73" ht="44" customHeight="1">
      <x:c r="A73" s="17" t="str">
        <x:v>S070</x:v>
      </x:c>
      <x:c r="B73" s="17" t="str">
        <x:v>tech.co</x:v>
      </x:c>
      <x:c r="C73" s="17" t="str">
        <x:v>https://tech.co/news/sean-mcelrath-hallway-dc-2012-09</x:v>
      </x:c>
      <x:c r="D73" s="17" t="str">
        <x:v>Founder source</x:v>
      </x:c>
      <x:c r="E73" s="17" t="str">
        <x:v>Sean McElrath: Hallway founder status; Sean McElrath: lead provenance</x:v>
      </x:c>
      <x:c r="F73" s="30" t="str">
        <x:v>2026-09-17</x:v>
      </x:c>
      <x:c r="G73" s="17" t="str"/>
    </x:row>
    <x:row r="74" ht="44" customHeight="1">
      <x:c r="A74" s="17" t="str">
        <x:v>S071</x:v>
      </x:c>
      <x:c r="B74" s="17" t="str">
        <x:v>linkedin.com</x:v>
      </x:c>
      <x:c r="C74" s="17" t="str">
        <x:v>https://www.linkedin.com/in/matthewjamesmueller</x:v>
      </x:c>
      <x:c r="D74" s="17" t="str">
        <x:v>TJ attendance source</x:v>
      </x:c>
      <x:c r="E74" s="17" t="str">
        <x:v>Matthew Mueller: TJHSST attendance/year</x:v>
      </x:c>
      <x:c r="F74" s="30" t="str">
        <x:v>2026-09-17</x:v>
      </x:c>
      <x:c r="G74" s="17" t="str"/>
    </x:row>
    <x:row r="75" ht="44" customHeight="1">
      <x:c r="A75" s="17" t="str">
        <x:v>S072</x:v>
      </x:c>
      <x:c r="B75" s="17" t="str">
        <x:v>archive.news.virginia.edu</x:v>
      </x:c>
      <x:c r="C75" s="17" t="str">
        <x:v>https://archive.news.virginia.edu/content/alumnus-matthew-mueller-brings-tech-revolution-custom-menswear</x:v>
      </x:c>
      <x:c r="D75" s="17" t="str">
        <x:v>Founder source</x:v>
      </x:c>
      <x:c r="E75" s="17" t="str">
        <x:v>Matthew Mueller: Knot Standard founder status; Matthew Mueller: lead provenance</x:v>
      </x:c>
      <x:c r="F75" s="30" t="str">
        <x:v>2026-09-17</x:v>
      </x:c>
      <x:c r="G75" s="17" t="str"/>
    </x:row>
    <x:row r="76" ht="44" customHeight="1">
      <x:c r="A76" s="17" t="str">
        <x:v>S073</x:v>
      </x:c>
      <x:c r="B76" s="17" t="str">
        <x:v>jerrytalton.net</x:v>
      </x:c>
      <x:c r="C76" s="17" t="str">
        <x:v>https://www.jerrytalton.net/files/jerry-talton-cv.pdf</x:v>
      </x:c>
      <x:c r="D76" s="17" t="str">
        <x:v>TJ attendance source</x:v>
      </x:c>
      <x:c r="E76" s="17" t="str">
        <x:v>Jerry O. Talton: TJHSST attendance/year; Jerry O. Talton: Apropose founder status; Jerry O. Talton: lead provenance</x:v>
      </x:c>
      <x:c r="F76" s="30" t="str">
        <x:v>2026-09-17</x:v>
      </x:c>
      <x:c r="G76" s="17" t="str"/>
    </x:row>
    <x:row r="77" ht="44" customHeight="1">
      <x:c r="A77" s="17" t="str">
        <x:v>S074</x:v>
      </x:c>
      <x:c r="B77" s="17" t="str">
        <x:v>capanova.org</x:v>
      </x:c>
      <x:c r="C77" s="17" t="str">
        <x:v>https://capanova.org/seminar-14-youth-entrepreneurship/</x:v>
      </x:c>
      <x:c r="D77" s="17" t="str">
        <x:v>TJ attendance source</x:v>
      </x:c>
      <x:c r="E77" s="17" t="str">
        <x:v>Philip Pan: TJHSST attendance/year; Philip Pan: Autovision Technologies founder status; Philip Pan: lead provenance</x:v>
      </x:c>
      <x:c r="F77" s="30" t="str">
        <x:v>2026-09-17</x:v>
      </x:c>
      <x:c r="G77" s="17" t="str"/>
    </x:row>
    <x:row r="78" ht="44" customHeight="1">
      <x:c r="A78" s="17" t="str">
        <x:v>S075</x:v>
      </x:c>
      <x:c r="B78" s="17" t="str">
        <x:v>stemforu.org</x:v>
      </x:c>
      <x:c r="C78" s="17" t="str">
        <x:v>https://www.stemforu.org/about</x:v>
      </x:c>
      <x:c r="D78" s="17" t="str">
        <x:v>TJ attendance source</x:v>
      </x:c>
      <x:c r="E78" s="17" t="str">
        <x:v>Samvrit Rao: TJHSST attendance/year; Samvrit Rao: STEMForU founder status; Samvrit Rao: lead provenance</x:v>
      </x:c>
      <x:c r="F78" s="30" t="str">
        <x:v>2026-09-17</x:v>
      </x:c>
      <x:c r="G78" s="17" t="str"/>
    </x:row>
    <x:row r="79" ht="44" customHeight="1">
      <x:c r="A79" s="17" t="str">
        <x:v>S076</x:v>
      </x:c>
      <x:c r="B79" s="17" t="str">
        <x:v>peerkonnect.org</x:v>
      </x:c>
      <x:c r="C79" s="17" t="str">
        <x:v>https://peerkonnect.org/views/front/peerkonnect.php</x:v>
      </x:c>
      <x:c r="D79" s="17" t="str">
        <x:v>TJ attendance source</x:v>
      </x:c>
      <x:c r="E79" s="17" t="str">
        <x:v>Ray Liu: TJHSST attendance/year; Ray Liu: PeerKonnect founder status; Ray Liu: lead provenance</x:v>
      </x:c>
      <x:c r="F79" s="30" t="str">
        <x:v>2026-09-17</x:v>
      </x:c>
      <x:c r="G79" s="17" t="str"/>
    </x:row>
    <x:row r="80" ht="44" customHeight="1">
      <x:c r="A80" s="17" t="str">
        <x:v>S077</x:v>
      </x:c>
      <x:c r="B80" s="17" t="str">
        <x:v>theorg.com</x:v>
      </x:c>
      <x:c r="C80" s="17" t="str">
        <x:v>https://theorg.com/org/map-collective/org-chart/tara-gupta</x:v>
      </x:c>
      <x:c r="D80" s="17" t="str">
        <x:v>TJ attendance source</x:v>
      </x:c>
      <x:c r="E80" s="17" t="str">
        <x:v>Tara Gupta: TJHSST attendance/year; Tara Gupta: Anamakos founder status</x:v>
      </x:c>
      <x:c r="F80" s="30" t="str">
        <x:v>2026-09-17</x:v>
      </x:c>
      <x:c r="G80" s="17" t="str"/>
    </x:row>
    <x:row r="81" ht="44" customHeight="1">
      <x:c r="A81" s="17" t="str">
        <x:v>S078</x:v>
      </x:c>
      <x:c r="B81" s="17" t="str">
        <x:v>bpb-us-e2.wpmucdn.com</x:v>
      </x:c>
      <x:c r="C81" s="17" t="str">
        <x:v>https://bpb-us-e2.wpmucdn.com/sites.utdallas.edu/dist/8/1090/files/2025/02/Sustainability-Certificate-Agenda-2.5.25-1.pdf</x:v>
      </x:c>
      <x:c r="D81" s="17" t="str">
        <x:v>Founder source</x:v>
      </x:c>
      <x:c r="E81" s="17" t="str">
        <x:v>Tara Gupta: Map-Collective founder status; Tara Gupta: lead provenance</x:v>
      </x:c>
      <x:c r="F81" s="30" t="str">
        <x:v>2026-09-17</x:v>
      </x:c>
      <x:c r="G81" s="17" t="str"/>
    </x:row>
    <x:row r="82" ht="44" customHeight="1">
      <x:c r="A82" s="17" t="str">
        <x:v>S079</x:v>
      </x:c>
      <x:c r="B82" s="17" t="str">
        <x:v>washingtonexec.com</x:v>
      </x:c>
      <x:c r="C82" s="17" t="str">
        <x:v>https://washingtonexec.com/2014/12/stem-series-meet-tjhssts-pooja-chandrashekar-projectcsgirls-founder-ceo/</x:v>
      </x:c>
      <x:c r="D82" s="17" t="str">
        <x:v>TJ attendance source</x:v>
      </x:c>
      <x:c r="E82" s="17" t="str">
        <x:v>Pooja Chandrashekar: TJHSST attendance/year; Pooja Chandrashekar: lead provenance</x:v>
      </x:c>
      <x:c r="F82" s="30" t="str">
        <x:v>2026-09-17</x:v>
      </x:c>
      <x:c r="G82" s="17" t="str"/>
    </x:row>
    <x:row r="83" ht="44" customHeight="1">
      <x:c r="A83" s="17" t="str">
        <x:v>S080</x:v>
      </x:c>
      <x:c r="B83" s="17" t="str">
        <x:v>projectcsgirls.com</x:v>
      </x:c>
      <x:c r="C83" s="17" t="str">
        <x:v>https://www.projectcsgirls.com/who-we-are</x:v>
      </x:c>
      <x:c r="D83" s="17" t="str">
        <x:v>Founder source</x:v>
      </x:c>
      <x:c r="E83" s="17" t="str">
        <x:v>Pooja Chandrashekar: ProjectCSGIRLS founder status</x:v>
      </x:c>
      <x:c r="F83" s="30" t="str">
        <x:v>2026-09-17</x:v>
      </x:c>
      <x:c r="G83" s="17" t="str"/>
    </x:row>
    <x:row r="84" ht="44" customHeight="1">
      <x:c r="A84" s="17" t="str">
        <x:v>S081</x:v>
      </x:c>
      <x:c r="B84" s="17" t="str">
        <x:v>washingtonexec.com</x:v>
      </x:c>
      <x:c r="C84" s="17" t="str">
        <x:v>https://washingtonexec.com/events/2016-k-12-stem-symposium-keynote-panel-highlight</x:v>
      </x:c>
      <x:c r="D84" s="17" t="str">
        <x:v>Founder source</x:v>
      </x:c>
      <x:c r="E84" s="17" t="str">
        <x:v>Pooja Chandrashekar: Action and Civic Tech Scholars founder status</x:v>
      </x:c>
      <x:c r="F84" s="30" t="str">
        <x:v>2026-09-17</x:v>
      </x:c>
      <x:c r="G84" s="17" t="str"/>
    </x:row>
    <x:row r="85" ht="44" customHeight="1">
      <x:c r="A85" s="17" t="str">
        <x:v>S082</x:v>
      </x:c>
      <x:c r="B85" s="17" t="str">
        <x:v>washingtonexec.com</x:v>
      </x:c>
      <x:c r="C85" s="17" t="str">
        <x:v>https://washingtonexec.com/2014/12/meet-tjhssts-satvika-kumar-learning-pathways-project-inc-founder-principal/</x:v>
      </x:c>
      <x:c r="D85" s="17" t="str">
        <x:v>TJ attendance source</x:v>
      </x:c>
      <x:c r="E85" s="17" t="str">
        <x:v>Satvika Kumar: TJHSST attendance/year; Satvika Kumar: Learning Pathways Project founder status; Satvika Kumar: lead provenance</x:v>
      </x:c>
      <x:c r="F85" s="30" t="str">
        <x:v>2026-09-17</x:v>
      </x:c>
      <x:c r="G85" s="17" t="str"/>
    </x:row>
    <x:row r="86" ht="44" customHeight="1">
      <x:c r="A86" s="17" t="str">
        <x:v>S083</x:v>
      </x:c>
      <x:c r="B86" s="17" t="str">
        <x:v>pprize.princeton.edu</x:v>
      </x:c>
      <x:c r="C86" s="17" t="str">
        <x:v>https://pprize.princeton.edu/people/damilola-awofisayo</x:v>
      </x:c>
      <x:c r="D86" s="17" t="str">
        <x:v>TJ attendance source</x:v>
      </x:c>
      <x:c r="E86" s="17" t="str">
        <x:v>Damilola Awofisayo: TJHSST attendance/year; Damilola Awofisayo: TecHacks founder status; Damilola Awofisayo: lead provenance</x:v>
      </x:c>
      <x:c r="F86" s="30" t="str">
        <x:v>2026-09-17</x:v>
      </x:c>
      <x:c r="G86" s="17" t="str"/>
    </x:row>
    <x:row r="87" ht="44" customHeight="1">
      <x:c r="A87" s="17" t="str">
        <x:v>S084</x:v>
      </x:c>
      <x:c r="B87" s="17" t="str">
        <x:v>content.govdelivery.com</x:v>
      </x:c>
      <x:c r="C87" s="17" t="str">
        <x:v>https://content.govdelivery.com/accounts/VAEDUFCPS/bulletins/3e3321b</x:v>
      </x:c>
      <x:c r="D87" s="17" t="str">
        <x:v>TJ attendance source</x:v>
      </x:c>
      <x:c r="E87" s="17" t="str">
        <x:v>Tiffney Kathir: TJHSST attendance/year; Tiffney Kathir: Tilt Desserts founder status; Tiffney Kathir: lead provenance</x:v>
      </x:c>
      <x:c r="F87" s="30" t="str">
        <x:v>2026-09-17</x:v>
      </x:c>
      <x:c r="G87" s="17" t="str"/>
    </x:row>
    <x:row r="88" ht="44" customHeight="1">
      <x:c r="A88" s="17" t="str">
        <x:v>S085</x:v>
      </x:c>
      <x:c r="B88" s="17" t="str">
        <x:v>ncfl.org</x:v>
      </x:c>
      <x:c r="C88" s="17" t="str">
        <x:v>https://www.ncfl.org/uploads/7/3/2/8/7328308/ncfl_results_-_2004.pdf</x:v>
      </x:c>
      <x:c r="D88" s="17" t="str">
        <x:v>TJ attendance source</x:v>
      </x:c>
      <x:c r="E88" s="17" t="str">
        <x:v>Joyce Meng: TJHSST attendance/year</x:v>
      </x:c>
      <x:c r="F88" s="30" t="str">
        <x:v>2026-09-17</x:v>
      </x:c>
      <x:c r="G88" s="17" t="str"/>
    </x:row>
    <x:row r="89" ht="44" customHeight="1">
      <x:c r="A89" s="17" t="str">
        <x:v>S086</x:v>
      </x:c>
      <x:c r="B89" s="17" t="str">
        <x:v>joycemeng.com</x:v>
      </x:c>
      <x:c r="C89" s="17" t="str">
        <x:v>https://www.joycemeng.com/</x:v>
      </x:c>
      <x:c r="D89" s="17" t="str">
        <x:v>Founder source</x:v>
      </x:c>
      <x:c r="E89" s="17" t="str">
        <x:v>Joyce Meng: Givology founder status; Joyce Meng: FACT Capital founder status</x:v>
      </x:c>
      <x:c r="F89" s="30" t="str">
        <x:v>2026-09-17</x:v>
      </x:c>
      <x:c r="G89" s="17" t="str"/>
    </x:row>
    <x:row r="90" ht="44" customHeight="1">
      <x:c r="A90" s="17" t="str">
        <x:v>S087</x:v>
      </x:c>
      <x:c r="B90" s="17" t="str">
        <x:v>content.govdelivery.com</x:v>
      </x:c>
      <x:c r="C90" s="17" t="str">
        <x:v>https://content.govdelivery.com/accounts/VAEDUFCPS/bulletins/41279b9</x:v>
      </x:c>
      <x:c r="D90" s="17" t="str">
        <x:v>Discovery source</x:v>
      </x:c>
      <x:c r="E90" s="17" t="str">
        <x:v>Joyce Meng: lead provenance</x:v>
      </x:c>
      <x:c r="F90" s="30" t="str">
        <x:v>2026-09-17</x:v>
      </x:c>
      <x:c r="G90" s="17" t="str"/>
    </x:row>
    <x:row r="91" ht="44" customHeight="1">
      <x:c r="A91" s="17" t="str">
        <x:v>S088</x:v>
      </x:c>
      <x:c r="B91" s="17" t="str">
        <x:v>washingtonpost.com</x:v>
      </x:c>
      <x:c r="C91" s="17" t="str">
        <x:v>https://www.washingtonpost.com/local/fairfax-high-school-students-GIVE-through-tutoring/2011/12/30/gIQApnr3RP_story.html</x:v>
      </x:c>
      <x:c r="D91" s="17" t="str">
        <x:v>TJ attendance source</x:v>
      </x:c>
      <x:c r="E91" s="17" t="str">
        <x:v>Kevin Cao: TJHSST attendance/year; Kevin Cao: GIVE founder status</x:v>
      </x:c>
      <x:c r="F91" s="30" t="str">
        <x:v>2026-09-17</x:v>
      </x:c>
      <x:c r="G91" s="17" t="str"/>
    </x:row>
    <x:row r="92" ht="44" customHeight="1">
      <x:c r="A92" s="17" t="str">
        <x:v>S089</x:v>
      </x:c>
      <x:c r="B92" s="17" t="str">
        <x:v>cocawalk.com</x:v>
      </x:c>
      <x:c r="C92" s="17" t="str">
        <x:v>https://cocawalk.com/aboutus.html</x:v>
      </x:c>
      <x:c r="D92" s="17" t="str">
        <x:v>TJ attendance source</x:v>
      </x:c>
      <x:c r="E92" s="17" t="str">
        <x:v>Rohith Yelisetty: TJHSST attendance/year; Rohith Yelisetty: Connected Crosswalk Assistance (CoCA) founder status; Tanush Kallem: TJHSST attendance/year; Tanush Kallem: Connected Crosswalk Assistance (CoCA) founder status; Adithiya Balaguru: TJHSST attendance/year; Adithiya Balaguru: Connected Crosswalk Assistance (CoCA) founder status; Arnav Bhalla: TJHSST attendance/year; Arnav Bhalla: Connected Crosswalk Assistance (CoCA) founder status; Anirudh Mantha: TJHSST attendance/year; Anirudh Mantha: Connected Crosswalk Assistance (CoCA) founder status</x:v>
      </x:c>
      <x:c r="F92" s="30" t="str">
        <x:v>2026-09-17</x:v>
      </x:c>
      <x:c r="G92" s="17" t="str"/>
    </x:row>
    <x:row r="93" ht="44" customHeight="1">
      <x:c r="A93" s="17" t="str">
        <x:v>S090</x:v>
      </x:c>
      <x:c r="B93" s="17" t="str">
        <x:v>mantuapta.org</x:v>
      </x:c>
      <x:c r="C93" s="17" t="str">
        <x:v>https://www.mantuapta.org/documents/dtf/2012-13/an/Alert101612.pdf</x:v>
      </x:c>
      <x:c r="D93" s="17" t="str">
        <x:v>TJ attendance source</x:v>
      </x:c>
      <x:c r="E93" s="17" t="str">
        <x:v>Abhishek Bhargava: TJHSST attendance/year</x:v>
      </x:c>
      <x:c r="F93" s="30" t="str">
        <x:v>2026-09-17</x:v>
      </x:c>
      <x:c r="G93" s="17" t="str"/>
    </x:row>
    <x:row r="94" ht="44" customHeight="1">
      <x:c r="A94" s="17" t="str">
        <x:v>S091</x:v>
      </x:c>
      <x:c r="B94" s="17" t="str">
        <x:v>crunchbase.com</x:v>
      </x:c>
      <x:c r="C94" s="17" t="str">
        <x:v>https://www.crunchbase.com/person/abhishek-bhargava</x:v>
      </x:c>
      <x:c r="D94" s="17" t="str">
        <x:v>Founder source</x:v>
      </x:c>
      <x:c r="E94" s="17" t="str">
        <x:v>Abhishek Bhargava: Vectordash founder status; Abhishek Bhargava: Covalent founder status; Abhishek Bhargava: BetterBrain founder status</x:v>
      </x:c>
      <x:c r="F94" s="30" t="str">
        <x:v>2026-09-17</x:v>
      </x:c>
      <x:c r="G94" s="17" t="str"/>
    </x:row>
    <x:row r="95" ht="44" customHeight="1">
      <x:c r="A95" s="17" t="str">
        <x:v>S092</x:v>
      </x:c>
      <x:c r="B95" s="17" t="str">
        <x:v>abhishekbhargava.substack.com</x:v>
      </x:c>
      <x:c r="C95" s="17" t="str">
        <x:v>https://abhishekbhargava.substack.com/p/cant-believe-its-been-15-years</x:v>
      </x:c>
      <x:c r="D95" s="17" t="str">
        <x:v>Additional corroboration</x:v>
      </x:c>
      <x:c r="E95" s="17" t="str">
        <x:v>Abhishek Bhargava / Vectordash: additional facts; Abhishek Bhargava: lead provenance; Abhishek Bhargava / Covalent: additional facts; Abhishek Bhargava / BetterBrain: additional facts</x:v>
      </x:c>
      <x:c r="F95" s="30" t="str">
        <x:v>2026-09-17</x:v>
      </x:c>
      <x:c r="G95" s="17" t="str"/>
    </x:row>
    <x:row r="96" ht="44" customHeight="1">
      <x:c r="A96" s="17" t="str">
        <x:v>S093</x:v>
      </x:c>
      <x:c r="B96" s="17" t="str">
        <x:v>linkedin.com</x:v>
      </x:c>
      <x:c r="C96" s="17" t="str">
        <x:v>https://www.linkedin.com/in/alexander-talamonti</x:v>
      </x:c>
      <x:c r="D96" s="17" t="str">
        <x:v>TJ attendance source</x:v>
      </x:c>
      <x:c r="E96" s="17" t="str">
        <x:v>Alex Talamonti: TJHSST attendance/year; Alex Talamonti: lead provenance; Jason He: TJHSST attendance/year; Jason He: lead provenance</x:v>
      </x:c>
      <x:c r="F96" s="30" t="str">
        <x:v>2026-09-17</x:v>
      </x:c>
      <x:c r="G96" s="17" t="str"/>
    </x:row>
    <x:row r="97" ht="44" customHeight="1">
      <x:c r="A97" s="17" t="str">
        <x:v>S094</x:v>
      </x:c>
      <x:c r="B97" s="17" t="str">
        <x:v>ycombinator.com</x:v>
      </x:c>
      <x:c r="C97" s="17" t="str">
        <x:v>https://www.ycombinator.com/companies/quotain/jobs</x:v>
      </x:c>
      <x:c r="D97" s="17" t="str">
        <x:v>Founder source</x:v>
      </x:c>
      <x:c r="E97" s="17" t="str">
        <x:v>Alex Talamonti: Quotain (Eden AI) founder status; Jason He: Quotain (Eden AI) founder status</x:v>
      </x:c>
      <x:c r="F97" s="30" t="str">
        <x:v>2026-09-17</x:v>
      </x:c>
      <x:c r="G97" s="17" t="str"/>
    </x:row>
    <x:row r="98" ht="44" customHeight="1">
      <x:c r="A98" s="17" t="str">
        <x:v>S095</x:v>
      </x:c>
      <x:c r="B98" s="17" t="str">
        <x:v>quotain.com</x:v>
      </x:c>
      <x:c r="C98" s="17" t="str">
        <x:v>https://www.quotain.com/about</x:v>
      </x:c>
      <x:c r="D98" s="17" t="str">
        <x:v>Additional corroboration</x:v>
      </x:c>
      <x:c r="E98" s="17" t="str">
        <x:v>Alex Talamonti / Quotain (Eden AI): additional facts; Jason He / Quotain (Eden AI): additional facts</x:v>
      </x:c>
      <x:c r="F98" s="30" t="str">
        <x:v>2026-09-17</x:v>
      </x:c>
      <x:c r="G98" s="17" t="str"/>
    </x:row>
    <x:row r="99" ht="44" customHeight="1">
      <x:c r="A99" s="17" t="str">
        <x:v>S096</x:v>
      </x:c>
      <x:c r="B99" s="17" t="str">
        <x:v>linkedin.com</x:v>
      </x:c>
      <x:c r="C99" s="17" t="str">
        <x:v>https://www.linkedin.com/posts/ana-malhotra_gooooocolonials-activity-7315055780871774210-wXNo</x:v>
      </x:c>
      <x:c r="D99" s="17" t="str">
        <x:v>TJ attendance source</x:v>
      </x:c>
      <x:c r="E99" s="17" t="str">
        <x:v>Ana Malhotra: TJHSST attendance/year; Ana Malhotra: lead provenance</x:v>
      </x:c>
      <x:c r="F99" s="30" t="str">
        <x:v>2026-09-17</x:v>
      </x:c>
      <x:c r="G99" s="17" t="str"/>
    </x:row>
    <x:row r="100" ht="44" customHeight="1">
      <x:c r="A100" s="17" t="str">
        <x:v>S097</x:v>
      </x:c>
      <x:c r="B100" s="17" t="str">
        <x:v>linkedin.com</x:v>
      </x:c>
      <x:c r="C100" s="17" t="str">
        <x:v>https://www.linkedin.com/in/ana-malhotra</x:v>
      </x:c>
      <x:c r="D100" s="17" t="str">
        <x:v>Founder source</x:v>
      </x:c>
      <x:c r="E100" s="17" t="str">
        <x:v>Ana Malhotra: Rome founder status</x:v>
      </x:c>
      <x:c r="F100" s="30" t="str">
        <x:v>2026-09-17</x:v>
      </x:c>
      <x:c r="G100" s="17" t="str"/>
    </x:row>
    <x:row r="101" ht="44" customHeight="1">
      <x:c r="A101" s="17" t="str">
        <x:v>S098</x:v>
      </x:c>
      <x:c r="B101" s="17" t="str">
        <x:v>ussclcubing.org</x:v>
      </x:c>
      <x:c r="C101" s="17" t="str">
        <x:v>https://www.ussclcubing.org/about</x:v>
      </x:c>
      <x:c r="D101" s="17" t="str">
        <x:v>Lead-check source</x:v>
      </x:c>
      <x:c r="E101" s="17" t="str">
        <x:v>Nihal Gorthi: unverified lead review</x:v>
      </x:c>
      <x:c r="F101" s="30" t="str">
        <x:v>2026-09-17</x:v>
      </x:c>
      <x:c r="G101" s="17" t="str"/>
    </x:row>
    <x:row r="102" ht="44" customHeight="1">
      <x:c r="A102" s="17" t="str">
        <x:v>S099</x:v>
      </x:c>
      <x:c r="B102" s="17" t="str">
        <x:v>girlswhomath.net</x:v>
      </x:c>
      <x:c r="C102" s="17" t="str">
        <x:v>https://girlswhomath.net/team</x:v>
      </x:c>
      <x:c r="D102" s="17" t="str">
        <x:v>Lead-check source</x:v>
      </x:c>
      <x:c r="E102" s="17" t="str">
        <x:v>Girls Who Math founding team: unverified lead review</x:v>
      </x:c>
      <x:c r="F102" s="30" t="str">
        <x:v>2026-09-17</x:v>
      </x:c>
      <x:c r="G102" s="17" t="str"/>
    </x:row>
    <x:row r="103" ht="44" customHeight="1">
      <x:c r="A103" s="17" t="str">
        <x:v>S100</x:v>
      </x:c>
      <x:c r="B103" s="17" t="str">
        <x:v>content.govdelivery.com</x:v>
      </x:c>
      <x:c r="C103" s="17" t="str">
        <x:v>https://content.govdelivery.com/accounts/VAEDUFCPS/bulletins/1f50821</x:v>
      </x:c>
      <x:c r="D103" s="17" t="str">
        <x:v>Lead-check source</x:v>
      </x:c>
      <x:c r="E103" s="17" t="str">
        <x:v>Vaibhav Sharma: unverified lead review</x:v>
      </x:c>
      <x:c r="F103" s="30" t="str">
        <x:v>2026-09-17</x:v>
      </x:c>
      <x:c r="G103" s="17" t="str"/>
    </x:row>
    <x:row r="104" ht="44" customHeight="1">
      <x:c r="A104" s="17" t="str">
        <x:v>S101</x:v>
      </x:c>
      <x:c r="B104" s="17" t="str">
        <x:v>content.govdelivery.com</x:v>
      </x:c>
      <x:c r="C104" s="17" t="str">
        <x:v>https://content.govdelivery.com/accounts/VAEDUFCPS/bulletins/18a11b7</x:v>
      </x:c>
      <x:c r="D104" s="17" t="str">
        <x:v>Lead-check source</x:v>
      </x:c>
      <x:c r="E104" s="17" t="str">
        <x:v>Justin Chen: unverified lead review</x:v>
      </x:c>
      <x:c r="F104" s="30" t="str">
        <x:v>2026-09-17</x:v>
      </x:c>
      <x:c r="G104" s="17" t="str"/>
    </x:row>
    <x:row r="105" ht="44" customHeight="1">
      <x:c r="A105" s="17" t="str">
        <x:v>S102</x:v>
      </x:c>
      <x:c r="B105" s="17" t="str">
        <x:v>ams.org</x:v>
      </x:c>
      <x:c r="C105" s="17" t="str">
        <x:v>https://www.ams.org/journals/notices/200810/200810-full-issue.pdf</x:v>
      </x:c>
      <x:c r="D105" s="17" t="str">
        <x:v>Rejection source</x:v>
      </x:c>
      <x:c r="E105" s="17" t="str">
        <x:v>Anders Kaseorg: exclusion rationale</x:v>
      </x:c>
      <x:c r="F105" s="30" t="str">
        <x:v>2026-09-17</x:v>
      </x:c>
      <x:c r="G105" s="17" t="str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0952a246cd74c9b"/>
  </x:tableParts>
</x:worksheet>
</file>

<file path=xl/worksheets/sheet7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28" hidden="0" customWidth="1"/>
    <x:col min="2" max="2" width="48" hidden="0" customWidth="1"/>
    <x:col min="3" max="3" width="50" hidden="0" customWidth="1"/>
    <x:col min="4" max="4" width="18" hidden="0" customWidth="1"/>
    <x:col min="5" max="5" width="22" hidden="0" customWidth="1"/>
    <x:col min="6" max="6" width="55" hidden="0" customWidth="1"/>
  </x:cols>
  <x:sheetData>
    <x:row r="1" ht="30" customHeight="1">
      <x:c r="A1" s="4" t="str">
        <x:v>Discovery Sources</x:v>
      </x:c>
      <x:c r="B1" s="4"/>
      <x:c r="C1" s="4"/>
      <x:c r="D1" s="4"/>
      <x:c r="E1" s="4"/>
      <x:c r="F1" s="4"/>
    </x:row>
    <x:row r="2" ht="28" customHeight="1">
      <x:c r="A2" s="7" t="str">
        <x:v>Yield tracking for major search paths. Counts describe the canonical lead path, not every source that later corroborated a person.</x:v>
      </x:c>
      <x:c r="B2" s="7"/>
      <x:c r="C2" s="7"/>
      <x:c r="D2" s="7"/>
      <x:c r="E2" s="7"/>
      <x:c r="F2" s="7"/>
    </x:row>
    <x:row r="3" ht="32" customHeight="1">
      <x:c r="A3" s="13" t="str">
        <x:v>method</x:v>
      </x:c>
      <x:c r="B3" s="13" t="str">
        <x:v>source_or_node</x:v>
      </x:c>
      <x:c r="C3" s="13" t="str">
        <x:v>url</x:v>
      </x:c>
      <x:c r="D3" s="13" t="str">
        <x:v>candidates_generated</x:v>
      </x:c>
      <x:c r="E3" s="13" t="str">
        <x:v>verified_founders_generated</x:v>
      </x:c>
      <x:c r="F3" s="13" t="str">
        <x:v>notes</x:v>
      </x:c>
    </x:row>
    <x:row r="4" ht="44" customHeight="1">
      <x:c r="A4" s="17" t="str">
        <x:v>Named community-node search</x:v>
      </x:c>
      <x:c r="B4" s="17" t="str">
        <x:v>Chappy Asel public LinkedIn activity and TJSTAR appearances</x:v>
      </x:c>
      <x:c r="C4" s="17" t="str">
        <x:v>https://www.linkedin.com/in/chappyasel</x:v>
      </x:c>
      <x:c r="D4" s="17" t="n">
        <x:v>8</x:v>
      </x:c>
      <x:c r="E4" s="17" t="n">
        <x:v>3</x:v>
      </x:c>
      <x:c r="F4" s="17" t="str">
        <x:v>Searched posts, alumni panels, tagged founders and explicit TJ phrases.</x:v>
      </x:c>
    </x:row>
    <x:row r="5" ht="44" customHeight="1">
      <x:c r="A5" s="17" t="str">
        <x:v>Named community-node search</x:v>
      </x:c>
      <x:c r="B5" s="17" t="str">
        <x:v>Howard Lerman public LinkedIn activity and interviews</x:v>
      </x:c>
      <x:c r="C5" s="17" t="str">
        <x:v>https://www.linkedin.com/in/howardlerman</x:v>
      </x:c>
      <x:c r="D5" s="17" t="n">
        <x:v>14</x:v>
      </x:c>
      <x:c r="E5" s="17" t="n">
        <x:v>6</x:v>
      </x:c>
      <x:c r="F5" s="17" t="str">
        <x:v>Searched TJ shout-outs, Roam team posts, founder interviews and Yext filings.</x:v>
      </x:c>
    </x:row>
    <x:row r="6" ht="44" customHeight="1">
      <x:c r="A6" s="17" t="str">
        <x:v>TJHSST founder directory</x:v>
      </x:c>
      <x:c r="B6" s="17" t="str">
        <x:v>TJHSST Founders Initiative</x:v>
      </x:c>
      <x:c r="C6" s="17" t="str">
        <x:v>https://www.tjhsst.network/</x:v>
      </x:c>
      <x:c r="D6" s="17" t="n">
        <x:v>34</x:v>
      </x:c>
      <x:c r="E6" s="17" t="n">
        <x:v>34</x:v>
      </x:c>
      <x:c r="F6" s="17" t="str">
        <x:v>Core seed list; every row was checked for separate founder evidence where possible.</x:v>
      </x:c>
    </x:row>
    <x:row r="7" ht="44" customHeight="1">
      <x:c r="A7" s="17" t="str">
        <x:v>Recursive founder-network expansion</x:v>
      </x:c>
      <x:c r="B7" s="17" t="str">
        <x:v>Verified-founder graph traversal</x:v>
      </x:c>
      <x:c r="C7" s="17" t="str">
        <x:v>https://pilot.com/blog/best-bookkeeping-service-pilot-founding-story</x:v>
      </x:c>
      <x:c r="D7" s="17" t="n">
        <x:v>23</x:v>
      </x:c>
      <x:c r="E7" s="17" t="n">
        <x:v>10</x:v>
      </x:c>
      <x:c r="F7" s="17" t="str">
        <x:v>Expanded co-founder teams and explicit fellow-TJ connections.</x:v>
      </x:c>
    </x:row>
    <x:row r="8" ht="44" customHeight="1">
      <x:c r="A8" s="17" t="str">
        <x:v>TJ/FCPS alumni publication</x:v>
      </x:c>
      <x:c r="B8" s="17" t="str">
        <x:v>FCPS newsletters, TJSTAR and school/community archives</x:v>
      </x:c>
      <x:c r="C8" s="17" t="str">
        <x:v>https://tjhsst.fcps.edu/</x:v>
      </x:c>
      <x:c r="D8" s="17" t="n">
        <x:v>19</x:v>
      </x:c>
      <x:c r="E8" s="17" t="n">
        <x:v>12</x:v>
      </x:c>
      <x:c r="F8" s="17" t="str">
        <x:v>Useful for class years and student/nonprofit founders.</x:v>
      </x:c>
    </x:row>
    <x:row r="9" ht="44" customHeight="1">
      <x:c r="A9" s="17" t="str">
        <x:v>Historical-company search</x:v>
      </x:c>
      <x:c r="B9" s="17" t="str">
        <x:v>Washington Post, public filings and archived alumni lists</x:v>
      </x:c>
      <x:c r="C9" s="17" t="str">
        <x:v>https://www.washingtonpost.com/</x:v>
      </x:c>
      <x:c r="D9" s="17" t="n">
        <x:v>22</x:v>
      </x:c>
      <x:c r="E9" s="17" t="n">
        <x:v>16</x:v>
      </x:c>
      <x:c r="F9" s="17" t="str">
        <x:v>Focused on pre-2010 and acquired/closed companies.</x:v>
      </x:c>
    </x:row>
    <x:row r="10" ht="44" customHeight="1">
      <x:c r="A10" s="17" t="str">
        <x:v>University cross-search</x:v>
      </x:c>
      <x:c r="B10" s="17" t="str">
        <x:v>MIT, Princeton, UVA, Rice and other university profiles</x:v>
      </x:c>
      <x:c r="C10" s="17" t="str">
        <x:v>https://www.mit.edu/</x:v>
      </x:c>
      <x:c r="D10" s="17" t="n">
        <x:v>13</x:v>
      </x:c>
      <x:c r="E10" s="17" t="n">
        <x:v>7</x:v>
      </x:c>
      <x:c r="F10" s="17" t="str">
        <x:v>Cross-checked founder bios and school timelines.</x:v>
      </x:c>
    </x:row>
    <x:row r="11" ht="44" customHeight="1">
      <x:c r="A11" s="17" t="str">
        <x:v>Accelerator/ecosystem search</x:v>
      </x:c>
      <x:c r="B11" s="17" t="str">
        <x:v>Y Combinator and investor portfolio biographies</x:v>
      </x:c>
      <x:c r="C11" s="17" t="str">
        <x:v>https://www.ycombinator.com/companies</x:v>
      </x:c>
      <x:c r="D11" s="17" t="n">
        <x:v>11</x:v>
      </x:c>
      <x:c r="E11" s="17" t="n">
        <x:v>6</x:v>
      </x:c>
      <x:c r="F11" s="17" t="str">
        <x:v>Searched YC batches and venture portfolio founder pages.</x:v>
      </x:c>
    </x:row>
    <x:row r="12" ht="44" customHeight="1">
      <x:c r="A12" s="17" t="str">
        <x:v>Young-founder search</x:v>
      </x:c>
      <x:c r="B12" s="17" t="str">
        <x:v>Hackathons, youth entrepreneurship and school publications</x:v>
      </x:c>
      <x:c r="C12" s="17" t="str">
        <x:v>https://cocawalk.com/aboutus.html</x:v>
      </x:c>
      <x:c r="D12" s="17" t="n">
        <x:v>17</x:v>
      </x:c>
      <x:c r="E12" s="17" t="n">
        <x:v>12</x:v>
      </x:c>
      <x:c r="F12" s="17" t="str">
        <x:v>Focused on 2020–2026 cohorts and high-school founders.</x:v>
      </x:c>
    </x:row>
    <x:row r="13" ht="44" customHeight="1">
      <x:c r="A13" s="17" t="str">
        <x:v>Fresh-query saturation pass</x:v>
      </x:c>
      <x:c r="B13" s="17" t="str">
        <x:v>Direct web searches across name + TJHSST and name + company</x:v>
      </x:c>
      <x:c r="C13" s="17" t="str">
        <x:v>https://www.google.com/</x:v>
      </x:c>
      <x:c r="D13" s="17" t="n">
        <x:v>18</x:v>
      </x:c>
      <x:c r="E13" s="17" t="n">
        <x:v>7</x:v>
      </x:c>
      <x:c r="F13" s="17" t="str">
        <x:v>Final validation and missed-founder discovery queries; low-yield compared with earlier passes.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92930f2f49a4ec9"/>
  </x:tableParts>
</x:worksheet>
</file>